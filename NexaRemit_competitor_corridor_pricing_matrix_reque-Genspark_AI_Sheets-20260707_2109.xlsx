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500"/>
  </bookViews>
  <sheets>
    <sheet r:id="rId1" name="Progress Dashboard" sheetId="1"/>
    <sheet r:id="rId2" name="Comparison Matrix" sheetId="2"/>
    <sheet r:id="rId3" name="Methodology" sheetId="3"/>
    <sheet r:id="rId4" name="NexaRemit Strategy" sheetId="4"/>
    <sheet r:id="rId5" name="Recommendations" sheetId="5"/>
    <sheet r:id="rId6" name="P1 Implementation" sheetId="6"/>
    <sheet r:id="rId7" name="P2 Implementation" sheetId="7"/>
    <sheet r:id="rId8" name="P3 Implementation" sheetId="8"/>
  </sheets>
  <calcPr calcId="0" iterate="1" iterateCount="1000" iterateDelta="0.01"/>
</workbook>
</file>

<file path=xl/sharedStrings.xml><?xml version="1.0" encoding="utf-8"?>
<sst xmlns="http://schemas.openxmlformats.org/spreadsheetml/2006/main" count="614" uniqueCount="614">
  <si>
    <t>NexaRemit Rollout — Progress Dashboard</t>
  </si>
  <si>
    <t>Live executive view. All counts and statuses pull from the Recommendations sheet. Rollout week counter reads cell C4 — update it weekly to keep the timeline accurate.</t>
  </si>
  <si>
    <t>Current Rollout Week #</t>
  </si>
  <si>
    <t>Rollout Start Date</t>
  </si>
  <si>
    <t>2026-07-06</t>
  </si>
  <si>
    <t>Report Date</t>
  </si>
  <si>
    <t>Status Snapshot — All Recommendations</t>
  </si>
  <si>
    <t>Total Recommendations</t>
  </si>
  <si>
    <t>Done</t>
  </si>
  <si>
    <t>In Progress</t>
  </si>
  <si>
    <t>Not Started</t>
  </si>
  <si>
    <t>of total</t>
  </si>
  <si>
    <t>Completion progress = Done / Total. Update Recommendations column H as items ship.</t>
  </si>
  <si>
    <t>Priority × Status Rollup</t>
  </si>
  <si>
    <t>Priority</t>
  </si>
  <si>
    <t>Total</t>
  </si>
  <si>
    <t>% Done</t>
  </si>
  <si>
    <t>Health</t>
  </si>
  <si>
    <t>Target Completion</t>
  </si>
  <si>
    <t>Notes</t>
  </si>
  <si>
    <t>P1 — Do Now</t>
  </si>
  <si>
    <t>On Track</t>
  </si>
  <si>
    <t>Week 2</t>
  </si>
  <si>
    <t>Hero pricing + Mexico/PH/India + Quote Capture</t>
  </si>
  <si>
    <t>P2 — Next</t>
  </si>
  <si>
    <t>Week 6</t>
  </si>
  <si>
    <t>Calculator + Guardrails + Next Corridor</t>
  </si>
  <si>
    <t>P3 — Later</t>
  </si>
  <si>
    <t>Legacy benchmarks + Promo tracking</t>
  </si>
  <si>
    <t>TOTAL</t>
  </si>
  <si>
    <t>Early</t>
  </si>
  <si>
    <t>Week 6 all-in</t>
  </si>
  <si>
    <t>Health = 'On Track' if Done ≥ 100% OR still within target week window. 'At Risk' if ≥ 50% done past target. 'Blocked' otherwise.</t>
  </si>
  <si>
    <t>Timeline Tracker — Target Week vs Current Week</t>
  </si>
  <si>
    <t>#</t>
  </si>
  <si>
    <t>Recommendation</t>
  </si>
  <si>
    <t>Owner</t>
  </si>
  <si>
    <t>Target Week</t>
  </si>
  <si>
    <t>Weeks Elapsed</t>
  </si>
  <si>
    <t>Weeks Remaining</t>
  </si>
  <si>
    <t>Status</t>
  </si>
  <si>
    <t>Signal</t>
  </si>
  <si>
    <t>Detail Sheet</t>
  </si>
  <si>
    <t>Launch Hero pricing on Nigeria, Ghana, Kenya at $0 fee</t>
  </si>
  <si>
    <t>P1</t>
  </si>
  <si>
    <t>Growth + Pricing</t>
  </si>
  <si>
    <t>⏰ Due Soon</t>
  </si>
  <si>
    <t>P1 Implementation</t>
  </si>
  <si>
    <t>Beat Remitly on Mexico with fee ≤ $0.99</t>
  </si>
  <si>
    <t>Pricing</t>
  </si>
  <si>
    <t>Undercut Xoom on Philippines all-in cost</t>
  </si>
  <si>
    <t>Product + Pricing</t>
  </si>
  <si>
    <t>● On Schedule</t>
  </si>
  <si>
    <t>Attack India (INR) on FX spread, not fee</t>
  </si>
  <si>
    <t>Pricing + Engineering</t>
  </si>
  <si>
    <t>Capture live $100 competitor quotes weekly</t>
  </si>
  <si>
    <t>Ops</t>
  </si>
  <si>
    <t>Publish a public 'Total Cost' calculator</t>
  </si>
  <si>
    <t>P2</t>
  </si>
  <si>
    <t>Product</t>
  </si>
  <si>
    <t>P2 Implementation</t>
  </si>
  <si>
    <t>Enforce Guardrails from Strategy sheet in code</t>
  </si>
  <si>
    <t>Engineering</t>
  </si>
  <si>
    <t>Fill the 'Other' corridor with the next launch market</t>
  </si>
  <si>
    <t>Strategy</t>
  </si>
  <si>
    <t>Add Western Union + MoneyGram as reference competitors</t>
  </si>
  <si>
    <t>P3</t>
  </si>
  <si>
    <t>P3 Implementation</t>
  </si>
  <si>
    <t>Track promotional first-transfer rates separately</t>
  </si>
  <si>
    <t>Analytics</t>
  </si>
  <si>
    <t>Weeks Remaining = Target Week − Current Week (cell C4). Update C4 weekly to refresh Signal column.</t>
  </si>
  <si>
    <t>Top Blockers — Items Overdue or Due This Week</t>
  </si>
  <si>
    <t>Rank</t>
  </si>
  <si>
    <t>Weeks Overdue</t>
  </si>
  <si>
    <t>Immediate Next Step</t>
  </si>
  <si>
    <t>Assign an ops owner today. Log into Wise, Remitly, WorldRemit, Xoom, TapTap Send with send=$100 for all 6 corridors. Populate P1 Implementation rows 42–77.</t>
  </si>
  <si>
    <t>Publish $0-fee corridor landing pages with FX markup cap ≤ 1.25%. Verify Margin Check column in P1 Implementation rows 7–9 all read 'OK ≥ $0.35'.</t>
  </si>
  <si>
    <t>Set MXN corridor fee to $0.99, cap FX markup at 1.00%. Confirm Verdict in P1 Implementation row 16 reads 'NexaRemit wins'. Then A/B test $0.99 vs $0.00 for 4 weeks.</t>
  </si>
  <si>
    <t>Weeks Overdue = MAX(0, Current Week − Target Week). Refresh weekly. When any of these items ship, mark it 'Done' in Recommendations column H and the blocker will roll off next refresh.</t>
  </si>
  <si>
    <t>Quick Jump — Detail Sheets</t>
  </si>
  <si>
    <t>Sheet</t>
  </si>
  <si>
    <t>Purpose</t>
  </si>
  <si>
    <t>Contents</t>
  </si>
  <si>
    <t>When to Open</t>
  </si>
  <si>
    <t>→</t>
  </si>
  <si>
    <t>Recommendations</t>
  </si>
  <si>
    <t>Action tracker</t>
  </si>
  <si>
    <t>10 items with Priority, Effort, Status</t>
  </si>
  <si>
    <t>Live</t>
  </si>
  <si>
    <t>Update Status column H after each ship</t>
  </si>
  <si>
    <t>Immediate work</t>
  </si>
  <si>
    <t>Hero pricing, Mexico/PH/India workbenches, Weekly Quote Capture</t>
  </si>
  <si>
    <t>Weekly on Monday for quote capture</t>
  </si>
  <si>
    <t>Mid-term work</t>
  </si>
  <si>
    <t>Calculator spec, Guardrails-as-code, Next-corridor scorecard</t>
  </si>
  <si>
    <t>When ready to ship calculator or automate guardrails</t>
  </si>
  <si>
    <t>Long-term work</t>
  </si>
  <si>
    <t>Legacy benchmarks, Promo classification</t>
  </si>
  <si>
    <t>After P1 weekly capture running 4+ weeks</t>
  </si>
  <si>
    <t>Full data sources: Comparison Matrix, Methodology, NexaRemit Strategy. This dashboard is a rollup — edit source sheets to change what appears here.</t>
  </si>
  <si>
    <t>Remittance Pricing Comparison – Send USD 100 from United States</t>
  </si>
  <si>
    <t>Data collected 2026-07-06. Public provider pages only. Values marked N/A where no public quote is available without login. Not financial advice.</t>
  </si>
  <si>
    <t>Corridor</t>
  </si>
  <si>
    <t>Provider</t>
  </si>
  <si>
    <t>Send Amount USD</t>
  </si>
  <si>
    <t>Transfer Fee USD</t>
  </si>
  <si>
    <t>Exchange Rate (1 USD →)</t>
  </si>
  <si>
    <t>Recipient Amount</t>
  </si>
  <si>
    <t>Total Charged USD</t>
  </si>
  <si>
    <t>Total Cost % of Send Amount</t>
  </si>
  <si>
    <t>Speed / Delivery Estimate</t>
  </si>
  <si>
    <t>Receive Method / Notes</t>
  </si>
  <si>
    <t>Date Checked</t>
  </si>
  <si>
    <t>Source URL</t>
  </si>
  <si>
    <t>Quote Confidence</t>
  </si>
  <si>
    <t>Comment</t>
  </si>
  <si>
    <t>USD → Nigeria (NGN)</t>
  </si>
  <si>
    <t>Nigeria (NGN)</t>
  </si>
  <si>
    <t>NexaRemit</t>
  </si>
  <si>
    <t>N/A</t>
  </si>
  <si>
    <t>Placeholder — pricing pending launch</t>
  </si>
  <si>
    <t>https://nexaremit.com</t>
  </si>
  <si>
    <t>N/A (internal)</t>
  </si>
  <si>
    <t>TapTap Send</t>
  </si>
  <si>
    <t>Minutes to same day</t>
  </si>
  <si>
    <t>Bank deposit; $0 transfer fee marketed</t>
  </si>
  <si>
    <t>www.taptapsend.com</t>
  </si>
  <si>
    <t>Medium (public marketing page)</t>
  </si>
  <si>
    <t>TapTap advertises $0 fee to Nigeria; FX markup embedded in rate. Live FX not published on landing page.</t>
  </si>
  <si>
    <t>Wise</t>
  </si>
  <si>
    <t>Same day typical</t>
  </si>
  <si>
    <t>Bank deposit; Wise uses mid-market rate + fee</t>
  </si>
  <si>
    <t>wise.com</t>
  </si>
  <si>
    <t>N/A (login required for $100 quote)</t>
  </si>
  <si>
    <t>Public page shows $1,000 example (≈$6.48 fee). $100 quote not shown without login.</t>
  </si>
  <si>
    <t>Remitly</t>
  </si>
  <si>
    <t>Minutes (Express) / 3-5 business days (Economy)</t>
  </si>
  <si>
    <t>Bank deposit / mobile wallet</t>
  </si>
  <si>
    <t>www.remitly.com</t>
  </si>
  <si>
    <t>N/A (login required for exact $100 quote)</t>
  </si>
  <si>
    <t>Promotional first-transfer rate common; standard fee/FX not shown without login.</t>
  </si>
  <si>
    <t>WorldRemit</t>
  </si>
  <si>
    <t>Minutes to hours</t>
  </si>
  <si>
    <t>Bank deposit / mobile money</t>
  </si>
  <si>
    <t>www.worldremit.com</t>
  </si>
  <si>
    <t>Low (indicative only)</t>
  </si>
  <si>
    <t>WorldRemit indicates possibly $0 fee to Nigeria for some payout methods; live quote requires calculator.</t>
  </si>
  <si>
    <t>Xoom</t>
  </si>
  <si>
    <t>Minutes typical</t>
  </si>
  <si>
    <t>Bank deposit / cash pickup</t>
  </si>
  <si>
    <t>www.xoom.com</t>
  </si>
  <si>
    <t>N/A (login required)</t>
  </si>
  <si>
    <t>Fees depend on funding source (bank/debit/credit); FX includes spread.</t>
  </si>
  <si>
    <t>USD → Ghana (GHS)</t>
  </si>
  <si>
    <t>Ghana (GHS)</t>
  </si>
  <si>
    <t>Placeholder</t>
  </si>
  <si>
    <t>nexaremit.com</t>
  </si>
  <si>
    <t>Fill in once public.</t>
  </si>
  <si>
    <t>Mobile money / bank; $0 fee marketed</t>
  </si>
  <si>
    <t>$0 transfer fee marketed to Ghana; FX markup embedded.</t>
  </si>
  <si>
    <t>Bank deposit</t>
  </si>
  <si>
    <t>Public $100 quote not shown without login.</t>
  </si>
  <si>
    <t>Minutes (Express) / few days (Economy)</t>
  </si>
  <si>
    <t>Promo rate on first send common.</t>
  </si>
  <si>
    <t>Mobile money / bank</t>
  </si>
  <si>
    <t>Public calculator required for live quote.</t>
  </si>
  <si>
    <t>Bank / mobile money</t>
  </si>
  <si>
    <t>Fees vary by funding source.</t>
  </si>
  <si>
    <t>USD → India (INR)</t>
  </si>
  <si>
    <t>India (INR)</t>
  </si>
  <si>
    <t>Bank deposit (if supported)</t>
  </si>
  <si>
    <t>Verify India corridor availability on TapTap; not on all landing pages.</t>
  </si>
  <si>
    <t>Bank deposit (UPI/IMPS)</t>
  </si>
  <si>
    <t>Public page shows fee examples for larger amounts; $100 quote requires login.</t>
  </si>
  <si>
    <t>Bank deposit / UPI</t>
  </si>
  <si>
    <t>Frequent promo rate on first send.</t>
  </si>
  <si>
    <t>Live quote via calculator only.</t>
  </si>
  <si>
    <t>Bank deposit / debit card</t>
  </si>
  <si>
    <t>FX spread often 2.5–4% on INR per third-party comparison.</t>
  </si>
  <si>
    <t>USD → Kenya (KES)</t>
  </si>
  <si>
    <t>Kenya (KES)</t>
  </si>
  <si>
    <t>M-Pesa / bank; $0 fee marketed</t>
  </si>
  <si>
    <t>$0 transfer fee marketed; FX markup embedded.</t>
  </si>
  <si>
    <t>$100 quote requires login.</t>
  </si>
  <si>
    <t>Minutes (Express) / days (Economy)</t>
  </si>
  <si>
    <t>M-Pesa / bank</t>
  </si>
  <si>
    <t>WorldRemit page shows 1 USD ≈ 127.908 KES as of retrieval; live quote via calculator.</t>
  </si>
  <si>
    <t>USD → Philippines (PHP)</t>
  </si>
  <si>
    <t>Philippines (PHP)</t>
  </si>
  <si>
    <t>Bank / e-wallet (if supported)</t>
  </si>
  <si>
    <t>Confirm PH corridor availability.</t>
  </si>
  <si>
    <t>Bank / e-wallet</t>
  </si>
  <si>
    <t>Public page shows $1,000 example ≈ $6.98 fee.</t>
  </si>
  <si>
    <t>Bank / e-wallet / cash pickup</t>
  </si>
  <si>
    <t>Blog reference cites ~$0.99 fee for some PH transfers; verify via live calculator.</t>
  </si>
  <si>
    <t>Bank / cash pickup; $0 fee marketed on eligible transactions</t>
  </si>
  <si>
    <t>Xoom advertises $0 transfer fees on eligible PH transactions; FX spread applies.</t>
  </si>
  <si>
    <t>USD → Mexico (MXN)</t>
  </si>
  <si>
    <t>Mexico (MXN)</t>
  </si>
  <si>
    <t>Bank / cash pickup (if supported)</t>
  </si>
  <si>
    <t>Confirm Mexico corridor availability.</t>
  </si>
  <si>
    <t>Public page shows $1,000 example ≈ $6.43 fee.</t>
  </si>
  <si>
    <t>Bank / cash pickup / debit card</t>
  </si>
  <si>
    <t>Wise blog cites Remitly $1.99 fee to Mexico as typical; promo FX often given on first send.</t>
  </si>
  <si>
    <t>Bank / cash pickup</t>
  </si>
  <si>
    <t>Bank / cash pickup / debit; $0 fee on eligible transactions</t>
  </si>
  <si>
    <t>Xoom advertises $0 transfer fee on eligible MXN transactions; FX includes spread.</t>
  </si>
  <si>
    <t>USD → Other (Specify)</t>
  </si>
  <si>
    <t>Other</t>
  </si>
  <si>
    <t>Input-ready row — fill in corridor name and live quote</t>
  </si>
  <si>
    <t>Cheapest Provider Per Corridor (by Total Charged USD, computable rows only)</t>
  </si>
  <si>
    <t>Cheapest Provider (lowest Total Charged USD)</t>
  </si>
  <si>
    <t>Min Total Charged USD</t>
  </si>
  <si>
    <t>Only TapTap Send has a numeric public quote ($0 fee marketed).</t>
  </si>
  <si>
    <t>Insufficient public quotes</t>
  </si>
  <si>
    <t>No provider offered a public $100 numeric quote without login.</t>
  </si>
  <si>
    <t>Only Xoom has a numeric public quote ($0 fee marketed on eligible transactions).</t>
  </si>
  <si>
    <t>Xoom marketed $0 fee vs Remitly $1.99; Xoom wins on fee (FX not compared).</t>
  </si>
  <si>
    <t>Methodology &amp; Data Notes</t>
  </si>
  <si>
    <t>Item</t>
  </si>
  <si>
    <t>Description</t>
  </si>
  <si>
    <t>Date</t>
  </si>
  <si>
    <t>Scope</t>
  </si>
  <si>
    <t>Send USD 100 from the United States to 6 destination corridors (Nigeria, Ghana, India, Kenya, Philippines, Mexico) plus one placeholder 'Other' corridor. Providers: NexaRemit, TapTap Send, Wise, Remitly, WorldRemit, Xoom.</t>
  </si>
  <si>
    <t>Data source</t>
  </si>
  <si>
    <t>Public provider marketing/pricing pages only. No login was used, so exact quotes for a specific $100 send that require sign-in are marked N/A.</t>
  </si>
  <si>
    <t>Homepage claims vs quotes</t>
  </si>
  <si>
    <t>Marketing claims like '$0 transfer fee' are recorded as Medium confidence and not treated as guaranteed final quotes. Corridor-specific quote pages are always preferred over homepage claims.</t>
  </si>
  <si>
    <t>Volatility</t>
  </si>
  <si>
    <t>Live FX rates and promotional first-transfer rates change intraday. Same-day comparisons may differ from what a user actually sees at checkout.</t>
  </si>
  <si>
    <t>Fee vs FX markup</t>
  </si>
  <si>
    <t>Total cost of a remittance = transfer fee + FX markup (mid-market rate vs offered rate). Providers advertising $0 fee typically recover margin inside the FX rate.</t>
  </si>
  <si>
    <t>Confidence levels</t>
  </si>
  <si>
    <t>High = live public quote captured. Medium = value from public marketing page. Low = indicative only, from third-party sources. N/A = login required or corridor not supported publicly.</t>
  </si>
  <si>
    <t>Ranking method</t>
  </si>
  <si>
    <t>Cheapest per corridor is determined by lowest Total Charged USD (send + fee) among rows with numeric fee data. Where only marketed $0-fee providers have numeric data, they win by default; FX markup is not fully comparable across providers without live quotes.</t>
  </si>
  <si>
    <t>US send fee stated as $2.99 in FAQ; landing pages for Nigeria/Ghana/Kenya market $0 transfer fee. Recorded as $0 where the corridor landing page shows $0, otherwise N/A.</t>
  </si>
  <si>
    <t>support.taptapsend.com</t>
  </si>
  <si>
    <t>Public pages show $1,000 example fees, e.g., Nigeria ≈ $6.48, Mexico ≈ $6.43, Philippines ≈ $6.98. $100 quote generally requires login.</t>
  </si>
  <si>
    <t>Wise's third-party blog cites Remitly transfer fee to Mexico at $1.99 as typical. Exact $100 corridor quotes require login.</t>
  </si>
  <si>
    <t>Corridor pages show sample rates (e.g., 1 USD ≈ 127.908 KES to Kenya) but require the calculator for a specific $100 quote.</t>
  </si>
  <si>
    <t>Marketing pages advertise $0 transfer fees on eligible transactions for Mexico and Philippines. Fees vary by funding source (bank vs debit vs credit); FX includes spread.</t>
  </si>
  <si>
    <t>Internal — placeholder rows in the Comparison Matrix are for NexaRemit's target public pricing per corridor. See NexaRemit Strategy sheet.</t>
  </si>
  <si>
    <t>NexaRemit Target Pricing Strategy</t>
  </si>
  <si>
    <t>Two-tier approach: 'Hero corridors' win on headline price to acquire users; 'Core corridors' maintain low fee + competitive FX to protect margin. Values are targets, not final published pricing.</t>
  </si>
  <si>
    <t>Tier</t>
  </si>
  <si>
    <t>Target Transfer Fee (USD)</t>
  </si>
  <si>
    <t>Target FX Markup vs Mid-Market</t>
  </si>
  <si>
    <t>Positioning vs Competition</t>
  </si>
  <si>
    <t>Rationale</t>
  </si>
  <si>
    <t>Notes / KPIs</t>
  </si>
  <si>
    <t>Hero</t>
  </si>
  <si>
    <t>$0.00</t>
  </si>
  <si>
    <t>0.75%–1.25%</t>
  </si>
  <si>
    <t>Match TapTap $0 fee; beat on FX transparency</t>
  </si>
  <si>
    <t>Large diaspora + strong TapTap presence; win headline 'no-fee' narrative</t>
  </si>
  <si>
    <t>Watch NGN volatility; monitor CAC vs LTV.</t>
  </si>
  <si>
    <t>Match TapTap $0 fee; superior speed to mobile money</t>
  </si>
  <si>
    <t>Similar dynamics to Nigeria; mobile-money-first market</t>
  </si>
  <si>
    <t>Track mobile money success rate.</t>
  </si>
  <si>
    <t>Match TapTap $0 fee; win on M-Pesa reliability</t>
  </si>
  <si>
    <t>High mobile-money penetration; speed and reliability matter</t>
  </si>
  <si>
    <t>Track M-Pesa payout SLA.</t>
  </si>
  <si>
    <t>Core</t>
  </si>
  <si>
    <t>$0.99</t>
  </si>
  <si>
    <t>0.50%–1.00%</t>
  </si>
  <si>
    <t>Beat Xoom on FX spread; near-parity on fee</t>
  </si>
  <si>
    <t>Xoom advertises $0 eligible; use slightly-nonzero fee + tighter FX to still beat all-in cost</t>
  </si>
  <si>
    <t>Track e-wallet vs bank mix.</t>
  </si>
  <si>
    <t>Beat Remitly ($1.99) and Xoom on all-in cost</t>
  </si>
  <si>
    <t>Very competitive US→MX market; small fee + tight FX preserves unit economics</t>
  </si>
  <si>
    <t>Monitor promo abuse and repeat rate.</t>
  </si>
  <si>
    <t>$1.49</t>
  </si>
  <si>
    <t>Beat Xoom FX spread (often 2.5–4% on INR)</t>
  </si>
  <si>
    <t>UPI/IMPS makes settlement cheap; FX spread is the differentiator</t>
  </si>
  <si>
    <t>Track average recipient amount vs. competitors.</t>
  </si>
  <si>
    <t>Other (TBD)</t>
  </si>
  <si>
    <t>TBD</t>
  </si>
  <si>
    <t>To be defined</t>
  </si>
  <si>
    <t>Reserved for the next corridor rollout</t>
  </si>
  <si>
    <t>Pending corridor selection.</t>
  </si>
  <si>
    <t>Guardrails</t>
  </si>
  <si>
    <t>Minimum contribution margin per transfer</t>
  </si>
  <si>
    <t>&gt;= $0.35 after processor + FX + payout costs at send=USD 100</t>
  </si>
  <si>
    <t>Cap on Hero corridor losses</t>
  </si>
  <si>
    <t>Aggregate monthly loss on hero corridors &lt;= marketing budget allocated</t>
  </si>
  <si>
    <t>Trigger to move corridor to Core</t>
  </si>
  <si>
    <t>3 consecutive months of negative unit margin or competitive fee &gt; $1.99</t>
  </si>
  <si>
    <t>Trigger to move corridor to Hero</t>
  </si>
  <si>
    <t>Corridor volume &gt; threshold AND competitor headline is $0 fee</t>
  </si>
  <si>
    <t>NexaRemit — Prioritized Recommendations</t>
  </si>
  <si>
    <t>Ranked actions derived from the Comparison Matrix and NexaRemit Strategy sheets. Priority = P1 (do now) → P3 (later). Owner is indicative; adjust to your org.</t>
  </si>
  <si>
    <t>Effort</t>
  </si>
  <si>
    <t>Why (Evidence)</t>
  </si>
  <si>
    <t>Concrete Next Step</t>
  </si>
  <si>
    <t>Suggested Owner</t>
  </si>
  <si>
    <t>Medium</t>
  </si>
  <si>
    <t>TapTap Send markets $0 fee on all three corridors (Comparison Matrix rows 6, 13, 27). Matching the headline removes the biggest acquisition objection in these diaspora corridors.</t>
  </si>
  <si>
    <t>Publish $0-fee landing pages per corridor with a 0.75–1.25% FX markup cap. Instrument checkout to log actual FX vs mid-market.</t>
  </si>
  <si>
    <t>Low</t>
  </si>
  <si>
    <t>Remitly's typical US→MX fee is $1.99 (Comparison Matrix row 43). A $0.99 fee + tighter FX beats Remitly on all-in cost without a full $0 headline.</t>
  </si>
  <si>
    <t>Set MXN corridor fee to $0.99 and cap FX markup at 1.00%. A/B test $0.99 vs $0.00 for 4 weeks.</t>
  </si>
  <si>
    <t>Xoom advertises $0 fee on eligible PH transactions (Comparison Matrix row 38) but FX spread applies. Beating Xoom on FX (not fee) is the winning wedge.</t>
  </si>
  <si>
    <t>Publish PHP corridor at $0.99 fee + ≤0.75% FX. Show side-by-side 'You save $X vs Xoom' widget on checkout.</t>
  </si>
  <si>
    <t>Third-party comparisons cite Xoom FX spread of 2.5–4% on INR (Comparison Matrix row 24). UPI/IMPS settlement makes tight FX affordable.</t>
  </si>
  <si>
    <t>Launch INR corridor at $1.49 fee + ≤1.00% FX markup. Add a live 'mid-market vs our rate' display on the quote screen.</t>
  </si>
  <si>
    <t>27 of 42 provider cells in the Comparison Matrix are N/A because $100 quotes require login (rows 7–10, 14–17, etc.). Without live quotes, the ranking table only reflects marketed $0-fee providers.</t>
  </si>
  <si>
    <t>Assign a weekly ops task to log into each competitor and capture $100 quote for all 6 corridors. Paste into Comparison Matrix; formulas auto-recalculate.</t>
  </si>
  <si>
    <t>Every competitor requires login for exact quotes. A public calculator that shows fee + FX markup + recipient amount without signup is a trust differentiator.</t>
  </si>
  <si>
    <t>Ship /pricing calculator on nexaremit.com with mid-market rate reference and 'You save vs [competitor]' comparison per corridor.</t>
  </si>
  <si>
    <t>NexaRemit Strategy rows 14–17 define minimum margin, hero-loss cap, and tier-move triggers. These must be enforced automatically, not reviewed monthly in a spreadsheet.</t>
  </si>
  <si>
    <t>Add a pricing service that (a) rejects quotes with margin &lt; $0.35, (b) alerts when hero-corridor monthly loss &gt; budget, (c) auto-flags corridors for tier review.</t>
  </si>
  <si>
    <t>Comparison Matrix rows 47–52 are input-ready but unassigned. Choosing the next corridor early lets pricing and ops prepare in parallel.</t>
  </si>
  <si>
    <t>Pick one of {Bangladesh, Pakistan, Senegal, Dominican Republic} based on diaspora size + payout rail availability. Populate rows 47–52.</t>
  </si>
  <si>
    <t>Current comparison only covers digital-first competitors. Legacy incumbents still hold significant US-originated remittance share and set the upper bound on 'expensive'.</t>
  </si>
  <si>
    <t>Insert 2 additional provider rows per corridor in the Comparison Matrix. Use same quote-capture cadence as recommendation #5.</t>
  </si>
  <si>
    <t>Remitly and Xoom regularly show promo FX on first transfer that is not sustainable (Methodology row 8). Comparing promo rates to steady-state pricing over-rewards competitors.</t>
  </si>
  <si>
    <t>Add a 'Promo / Steady-state' flag column to the Comparison Matrix. Only use steady-state rates for the ranking block.</t>
  </si>
  <si>
    <t>Executive Summary</t>
  </si>
  <si>
    <t>Win Nigeria / Ghana / Kenya on headline $0 fee to match TapTap Send. Win Mexico / Philippines / India on all-in cost by undercutting Remitly on fee and Xoom on FX. Ship a public calculator and automate the Guardrails — do not manage margin manually. Capture live competitor quotes weekly so the Comparison Matrix reflects reality, not marketing pages.</t>
  </si>
  <si>
    <t>P1 Implementation — Launch Pricing &amp; Live-Quote Capture</t>
  </si>
  <si>
    <t>Operational tables for the 5 P1 recommendations. Yellow-tinted cells are inputs (edit these). White cells with formulas auto-recalculate. Send amount is USD 100 unless noted.</t>
  </si>
  <si>
    <t>P1-1 · Hero Corridor Launch — Nigeria, Ghana, Kenya at $0 Fee</t>
  </si>
  <si>
    <t>Match TapTap Send headline $0 fee. Recover margin inside a 0.75%–1.25% FX markup. Cells shaded yellow (#FFF9E6) are editable inputs.</t>
  </si>
  <si>
    <t>Receive Currency</t>
  </si>
  <si>
    <t>Mid-Market FX (1 USD →)</t>
  </si>
  <si>
    <t>NexaRemit FX (1 USD →)</t>
  </si>
  <si>
    <t>FX Markup %</t>
  </si>
  <si>
    <t>NexaRemit Fee USD</t>
  </si>
  <si>
    <t>All-in Cost to Sender USD</t>
  </si>
  <si>
    <t>Margin Check</t>
  </si>
  <si>
    <t>Nigeria</t>
  </si>
  <si>
    <t>NGN</t>
  </si>
  <si>
    <t>OK ≥ $0.35</t>
  </si>
  <si>
    <t>Ghana</t>
  </si>
  <si>
    <t>GHS</t>
  </si>
  <si>
    <t>Kenya</t>
  </si>
  <si>
    <t>KES</t>
  </si>
  <si>
    <t>Guardrail: FX markup must cover ≥ $0.35 contribution margin at send=$100 (i.e., FX markup ≥ 0.35%). REVIEW flag means margin fails guardrail.</t>
  </si>
  <si>
    <t>P1-2 · Mexico (MXN) — Beat Remitly on All-in Cost</t>
  </si>
  <si>
    <t>Remitly typical fee is $1.99 to Mexico. Target: $0.99 fee + tighter FX. All-in cost must be lower than Remitly's.</t>
  </si>
  <si>
    <t>Fee USD</t>
  </si>
  <si>
    <t>Mid-Market FX</t>
  </si>
  <si>
    <t>Offered FX</t>
  </si>
  <si>
    <t>Recipient MXN</t>
  </si>
  <si>
    <t>All-in Cost USD</t>
  </si>
  <si>
    <t>Delta vs NexaRemit USD</t>
  </si>
  <si>
    <t>Verdict</t>
  </si>
  <si>
    <t>NexaRemit (target)</t>
  </si>
  <si>
    <t>Baseline</t>
  </si>
  <si>
    <t>Remitly (published)</t>
  </si>
  <si>
    <t>NexaRemit wins</t>
  </si>
  <si>
    <t>Xoom (published)</t>
  </si>
  <si>
    <t>Adjust FX</t>
  </si>
  <si>
    <t>Wise (published)</t>
  </si>
  <si>
    <t>Capture live quote (see P1-5)</t>
  </si>
  <si>
    <t>Verdict formula: NexaRemit wins when its all-in cost (H15) is LOWER than the competitor's all-in cost. If not, tighten FX or reduce fee and re-check.</t>
  </si>
  <si>
    <t>P1-3 · Philippines (PHP) — Beat Xoom on FX Spread</t>
  </si>
  <si>
    <t>Xoom markets $0 fee on eligible PH transactions but embeds FX spread. Target: $0.99 fee + ≤0.75% FX markup so all-in cost still beats Xoom.</t>
  </si>
  <si>
    <t>Recipient PHP</t>
  </si>
  <si>
    <t>NexaRemit wins (more PHP delivered)</t>
  </si>
  <si>
    <t>Capture live quote</t>
  </si>
  <si>
    <t>When fees are both ~$0, the winner is whoever delivers MORE local currency (higher G). Use PHP recipient amount as the tie-breaker.</t>
  </si>
  <si>
    <t>P1-4 · India (INR) — Attack Xoom's FX Spread</t>
  </si>
  <si>
    <t>Xoom INR spread cited at 2.5%–4%. UPI/IMPS makes tight FX affordable. Target: $1.49 fee + ≤1.00% FX markup.</t>
  </si>
  <si>
    <t>Recipient INR</t>
  </si>
  <si>
    <t>Effective Cost % of Send</t>
  </si>
  <si>
    <t>Xoom (low estimate)</t>
  </si>
  <si>
    <t>NexaRemit wins on all-in %</t>
  </si>
  <si>
    <t>Xoom (high estimate)</t>
  </si>
  <si>
    <t>Effective Cost % = (Fee + FX Markup on $100) / Send. NexaRemit wins when its Effective Cost % is below both Xoom estimates.</t>
  </si>
  <si>
    <t>P1-5 · Weekly Live Competitor Quote Capture</t>
  </si>
  <si>
    <t>Weekly ops task: log into each competitor with send=$100 and capture Fee + FX. Paste values in yellow cells. All-in Cost, FX Markup %, and Winner are auto-calculated.</t>
  </si>
  <si>
    <t>Week Of (Mon)</t>
  </si>
  <si>
    <t>Offered FX (1 USD →)</t>
  </si>
  <si>
    <t>All-in Cost USD (fee + FX cost)</t>
  </si>
  <si>
    <t>Notes / Source URL</t>
  </si>
  <si>
    <t/>
  </si>
  <si>
    <t>India</t>
  </si>
  <si>
    <t>Philippines</t>
  </si>
  <si>
    <t>Mexico</t>
  </si>
  <si>
    <t>P1 Rollout Checklist</t>
  </si>
  <si>
    <t>P1-1 Hero pricing published (NGN, GHS, KES)</t>
  </si>
  <si>
    <t>Target go-live: within 2 weeks. Owner: Growth + Pricing.</t>
  </si>
  <si>
    <t>P1-2 Mexico $0.99 fee live</t>
  </si>
  <si>
    <t>Target go-live: within 2 weeks. A/B test $0.99 vs $0.00 for 4 weeks.</t>
  </si>
  <si>
    <t>P1-3 Philippines $0.99 + ≤0.75% FX live</t>
  </si>
  <si>
    <t>Target go-live: within 3 weeks. Add 'You save vs Xoom' widget.</t>
  </si>
  <si>
    <t>P1-4 India $1.49 + ≤1.00% FX live</t>
  </si>
  <si>
    <t>Target go-live: within 3 weeks. Display mid-market rate on quote screen.</t>
  </si>
  <si>
    <t>P1-5 Weekly quote capture running</t>
  </si>
  <si>
    <t>Cadence: every Monday. Populate rows 42–77 of this sheet.</t>
  </si>
  <si>
    <t>P2 Implementation — Calculator Spec · Guardrails · Next Corridor</t>
  </si>
  <si>
    <t>Operational tables for the 3 P2 recommendations. Yellow-tinted cells are inputs (edit these). White cells with formulas auto-recalculate.</t>
  </si>
  <si>
    <t>P2-6 · Public 'Total Cost' Calculator — Design Spec + Live Prototype</t>
  </si>
  <si>
    <t>Prototype the calculator logic here. When implemented on nexaremit.com/pricing it must show fee, FX markup, recipient amount, and savings vs each competitor with no login required.</t>
  </si>
  <si>
    <t>Field / Competitor</t>
  </si>
  <si>
    <t>Value / Fee USD</t>
  </si>
  <si>
    <t>Recipient Local</t>
  </si>
  <si>
    <t>Savings vs NexaRemit USD</t>
  </si>
  <si>
    <t>Winner Flag</t>
  </si>
  <si>
    <t>Corridor (label only)</t>
  </si>
  <si>
    <t>NexaRemit fee USD</t>
  </si>
  <si>
    <t>NexaRemit saves</t>
  </si>
  <si>
    <t>NexaRemit delivers more MXN</t>
  </si>
  <si>
    <t>How this becomes production: the calculator page reads Send Amount + Corridor from the user, pulls Mid-Market FX from a public FX API, pulls Offered FX + Fee from NexaRemit's pricing service, and renders the same math shown in rows 9–14 with a live 'You save $X vs [Competitor]' line.</t>
  </si>
  <si>
    <t>Calculator UX Requirements</t>
  </si>
  <si>
    <t>Requirement</t>
  </si>
  <si>
    <t>Acceptance Criteria</t>
  </si>
  <si>
    <t>No login required</t>
  </si>
  <si>
    <t>Anonymous visitor can get a full quote</t>
  </si>
  <si>
    <t>Zero auth prompts before result render</t>
  </si>
  <si>
    <t>Must</t>
  </si>
  <si>
    <t>Mid-market reference visible</t>
  </si>
  <si>
    <t>Show mid-market rate next to offered rate</t>
  </si>
  <si>
    <t>Both rates visible in same viewport</t>
  </si>
  <si>
    <t>Live competitor delta</t>
  </si>
  <si>
    <t>'You save $X vs [Remitly/Xoom/Wise]' displayed per corridor</t>
  </si>
  <si>
    <t>Delta refreshes when user changes amount/corridor</t>
  </si>
  <si>
    <t>Product + Data</t>
  </si>
  <si>
    <t>Corridor picker</t>
  </si>
  <si>
    <t>Dropdown of all supported corridors</t>
  </si>
  <si>
    <t>All 6 corridors + 'Other coming soon' entry</t>
  </si>
  <si>
    <t>Shareable URL</t>
  </si>
  <si>
    <t>Quote result deep-linkable (query params)</t>
  </si>
  <si>
    <t>/pricing?send=100&amp;corridor=MXN opens with values pre-filled</t>
  </si>
  <si>
    <t>Should</t>
  </si>
  <si>
    <t>Mobile-first layout</t>
  </si>
  <si>
    <t>Single column at ≤640px, side-by-side ≥1024px</t>
  </si>
  <si>
    <t>Lighthouse mobile score ≥ 90</t>
  </si>
  <si>
    <t>Design + Eng</t>
  </si>
  <si>
    <t>P2-7 · Guardrails-as-Code — Pricing Service Rules</t>
  </si>
  <si>
    <t>Enforce these rules automatically in the pricing service. Do not review manually in a spreadsheet. Each rule has a trigger, action, and severity.</t>
  </si>
  <si>
    <t>Rule Name</t>
  </si>
  <si>
    <t>Trigger Condition</t>
  </si>
  <si>
    <t>Action</t>
  </si>
  <si>
    <t>Severity</t>
  </si>
  <si>
    <t>Alert Channel</t>
  </si>
  <si>
    <t>Test Method</t>
  </si>
  <si>
    <t>Live Status</t>
  </si>
  <si>
    <t>Minimum margin</t>
  </si>
  <si>
    <t>Quote contribution margin &lt; $0.35</t>
  </si>
  <si>
    <t>Reject quote; return HTTP 422</t>
  </si>
  <si>
    <t>Critical</t>
  </si>
  <si>
    <t>PagerDuty</t>
  </si>
  <si>
    <t>Unit test: mock quote with margin=$0.30 must throw</t>
  </si>
  <si>
    <t>Not implemented</t>
  </si>
  <si>
    <t>Applies to every corridor at send ≥ $50</t>
  </si>
  <si>
    <t>FX markup cap (Hero)</t>
  </si>
  <si>
    <t>Offered FX markup &gt; 1.25% on NGN/GHS/KES</t>
  </si>
  <si>
    <t>Reject quote; auto-page pricing on-call</t>
  </si>
  <si>
    <t>Integration test per hero corridor</t>
  </si>
  <si>
    <t>Hero corridors capped tighter than core</t>
  </si>
  <si>
    <t>FX markup cap (Core)</t>
  </si>
  <si>
    <t>Offered FX markup &gt; 1.00% on PHP/MXN/INR</t>
  </si>
  <si>
    <t>Reject quote; log warn</t>
  </si>
  <si>
    <t>High</t>
  </si>
  <si>
    <t>Slack #pricing-alerts</t>
  </si>
  <si>
    <t>Integration test per core corridor</t>
  </si>
  <si>
    <t>Core corridors get slightly wider band than hero</t>
  </si>
  <si>
    <t>Hero loss cap</t>
  </si>
  <si>
    <t>Cumulative Hero corridor loss for month &gt; marketing budget</t>
  </si>
  <si>
    <t>Auto-flag corridor for review; pause promo FX</t>
  </si>
  <si>
    <t>Slack + email to Growth lead</t>
  </si>
  <si>
    <t>Growth + Finance</t>
  </si>
  <si>
    <t>Nightly job compares MTD loss vs budget row</t>
  </si>
  <si>
    <t>Reset first of each month</t>
  </si>
  <si>
    <t>Tier-move trigger (to Core)</t>
  </si>
  <si>
    <t>3 consecutive months of negative unit margin on any corridor</t>
  </si>
  <si>
    <t>Auto-flag corridor to move from Hero → Core</t>
  </si>
  <si>
    <t>Monthly cron job on financial data</t>
  </si>
  <si>
    <t>Reference: NexaRemit Strategy row 16</t>
  </si>
  <si>
    <t>Tier-move trigger (to Hero)</t>
  </si>
  <si>
    <t>Corridor monthly volume &gt; threshold AND competitor headline fee = $0</t>
  </si>
  <si>
    <t>Auto-flag corridor to move Core → Hero</t>
  </si>
  <si>
    <t>Pricing + Growth</t>
  </si>
  <si>
    <t>Monthly cron job on volume + competitor scrape</t>
  </si>
  <si>
    <t>Reference: NexaRemit Strategy row 17</t>
  </si>
  <si>
    <t>Promo abuse detector</t>
  </si>
  <si>
    <t>Same user creates &gt; 3 first-transfer promo quotes in 30 days</t>
  </si>
  <si>
    <t>Block promo FX; charge steady-state rate</t>
  </si>
  <si>
    <t>Slack #fraud-alerts</t>
  </si>
  <si>
    <t>Risk + Engineering</t>
  </si>
  <si>
    <t>Weekly sample audit</t>
  </si>
  <si>
    <t>Prevent Remitly-style promo drain</t>
  </si>
  <si>
    <t>Competitor fee gap alert</t>
  </si>
  <si>
    <t>Competitor headline fee drops &gt; $0.50 below NexaRemit for same corridor</t>
  </si>
  <si>
    <t>Alert pricing lead; propose new fee within 48h</t>
  </si>
  <si>
    <t>Email daily digest</t>
  </si>
  <si>
    <t>Uses Weekly Quote Capture from P1-5</t>
  </si>
  <si>
    <t>Prevents surprise loss of price leadership</t>
  </si>
  <si>
    <t>Definition of done for P2-7: every rule row has Live Status = 'Live' with test evidence linked in the Notes column.</t>
  </si>
  <si>
    <t>P2-8 · Next-Corridor Scorecard — Which Market to Launch</t>
  </si>
  <si>
    <t>Weighted score across 5 dimensions. Higher = better candidate. Weights sum to 100%. Adjust weights in row 43 (yellow cells) to run sensitivity analysis.</t>
  </si>
  <si>
    <t>Dimension →</t>
  </si>
  <si>
    <t>Diaspora Size (US)</t>
  </si>
  <si>
    <t>Payout Rail Readiness</t>
  </si>
  <si>
    <t>Competitive Intensity (inverse)</t>
  </si>
  <si>
    <t>Regulatory Ease</t>
  </si>
  <si>
    <t>Avg Send Amount</t>
  </si>
  <si>
    <t>TOTAL WEIGHT</t>
  </si>
  <si>
    <t>Weight %</t>
  </si>
  <si>
    <t>Score each candidate 1–10 per dimension in the yellow cells below. Weighted Score = SUMPRODUCT of scores × weights above.</t>
  </si>
  <si>
    <t>Candidate Corridor</t>
  </si>
  <si>
    <t>Diaspora Size</t>
  </si>
  <si>
    <t>Payout Rails</t>
  </si>
  <si>
    <t>Comp. Intensity (inv)</t>
  </si>
  <si>
    <t>Avg Send</t>
  </si>
  <si>
    <t>Weighted Score</t>
  </si>
  <si>
    <t>Bangladesh (BDT)</t>
  </si>
  <si>
    <t>Large diaspora; bKash + Nagad dominant e-wallets; strong incumbent (bKash-Western Union).</t>
  </si>
  <si>
    <t>Pakistan (PKR)</t>
  </si>
  <si>
    <t>Sizeable US diaspora; RAAST rail improving; SBP FX rules require care.</t>
  </si>
  <si>
    <t>Senegal (XOF)</t>
  </si>
  <si>
    <t>Wave dominant + strong mobile money; less crowded on US-origination.</t>
  </si>
  <si>
    <t>Dominican Rep. (DOP)</t>
  </si>
  <si>
    <t>Strong Xoom / Remitly presence; regulatory environment friendly.</t>
  </si>
  <si>
    <t>(Add candidate)</t>
  </si>
  <si>
    <t>Yellow cells left blank for future candidate</t>
  </si>
  <si>
    <t>Selected Next Corridor (write once decision is made)</t>
  </si>
  <si>
    <t>Selected</t>
  </si>
  <si>
    <t>Target Launch Date</t>
  </si>
  <si>
    <t>Once selected, populate rows 47–52 of the Comparison Matrix ('Other' block) with this corridor and begin the same P1 pricing workbench pattern in a new tab.</t>
  </si>
  <si>
    <t>P2 Rollout Checklist</t>
  </si>
  <si>
    <t>P2-6 Public calculator live at nexaremit.com/pricing</t>
  </si>
  <si>
    <t>Target: within 4 weeks. Owner: Product + Engineering. Acceptance: all 6 UX Musts satisfied.</t>
  </si>
  <si>
    <t>P2-7 Guardrails-as-code deployed</t>
  </si>
  <si>
    <t>Target: within 6 weeks. Owner: Engineering. Acceptance: all 8 rules Live Status = 'Live' with tests.</t>
  </si>
  <si>
    <t>P2-8 Next corridor selected + P1 workbench started</t>
  </si>
  <si>
    <t>Target: within 4 weeks. Owner: Strategy. Acceptance: winner picked in row 54, Comparison Matrix rows 47–52 populated.</t>
  </si>
  <si>
    <t>P3 Implementation — Legacy Benchmarks · Promo-vs-Steady-State Tracking</t>
  </si>
  <si>
    <t>Operational tables for the 2 P3 recommendations. Yellow-tinted cells are inputs (edit these). White cells with formulas auto-recalculate.</t>
  </si>
  <si>
    <t>P3-9 · Legacy Competitor Benchmark — Western Union &amp; MoneyGram</t>
  </si>
  <si>
    <t>Establish the upper bound on 'expensive'. WU and MoneyGram set the reference incumbents. Use this delta in marketing ('save up to $X vs Western Union').</t>
  </si>
  <si>
    <t>Delta vs NexaRemit Target USD</t>
  </si>
  <si>
    <t>Western Union</t>
  </si>
  <si>
    <t>MoneyGram</t>
  </si>
  <si>
    <t>Delta column shows how much more (positive) or less (negative) the legacy provider costs vs NexaRemit's target all-in cost. Positive = marketing headline ('save $X vs Western Union').</t>
  </si>
  <si>
    <t>Marketing Headline Auto-Generator</t>
  </si>
  <si>
    <t>Best Legacy Reference</t>
  </si>
  <si>
    <t>Legacy All-in Cost</t>
  </si>
  <si>
    <t>NexaRemit Target</t>
  </si>
  <si>
    <t>Savings USD</t>
  </si>
  <si>
    <t>Savings %</t>
  </si>
  <si>
    <t>Suggested Headline</t>
  </si>
  <si>
    <t>Higher of WU/MG</t>
  </si>
  <si>
    <t>Send to Nigeria and save $-100.75 vs Western Union — no transfer fees.</t>
  </si>
  <si>
    <t>Send to Ghana and save $-100.75 vs Western Union — no transfer fees.</t>
  </si>
  <si>
    <t>Send to Kenya and save $-100.75 vs Western Union — no transfer fees.</t>
  </si>
  <si>
    <t>Send to Mexico for $0.99 and save $-101.49 vs Western Union.</t>
  </si>
  <si>
    <t>Send to the Philippines for $0.99 and save $-101.49 vs Western Union.</t>
  </si>
  <si>
    <t>Send to India for $1.49 and save $-101.99 vs Western Union.</t>
  </si>
  <si>
    <t>P3-10 · Promo vs Steady-State Rate Tracking</t>
  </si>
  <si>
    <t>Remitly and Xoom offer promotional first-transfer rates that are not sustainable. Separate promo quotes from steady-state so rankings reflect actual repeat-user pricing.</t>
  </si>
  <si>
    <t>Classification Rules — When to Flag a Quote as 'Promo'</t>
  </si>
  <si>
    <t>Rule</t>
  </si>
  <si>
    <t>Trigger</t>
  </si>
  <si>
    <t>Auto-Flag Value</t>
  </si>
  <si>
    <t>Applies To</t>
  </si>
  <si>
    <t>Confidence</t>
  </si>
  <si>
    <t>First-transfer marker</t>
  </si>
  <si>
    <t>Page shows 'special rate on first transfer'</t>
  </si>
  <si>
    <t>Quote explicitly labeled as new-user promotional rate on landing page or checkout</t>
  </si>
  <si>
    <t>Promo</t>
  </si>
  <si>
    <t>Remitly, Xoom, WorldRemit</t>
  </si>
  <si>
    <t>Most explicit signal</t>
  </si>
  <si>
    <t>FX better than mid-market</t>
  </si>
  <si>
    <t>Offered FX ≥ mid-market rate</t>
  </si>
  <si>
    <t>If Offered FX equals or exceeds the mid-market rate, the provider is subsidizing FX — promo behavior</t>
  </si>
  <si>
    <t>Any provider</t>
  </si>
  <si>
    <t>Sustainable providers always take some FX spread</t>
  </si>
  <si>
    <t>FX markup &lt; 0.10%</t>
  </si>
  <si>
    <t>Offered FX markup below 0.10%</t>
  </si>
  <si>
    <t>Extremely tight FX spread indicates loss-leader promo pricing</t>
  </si>
  <si>
    <t>Wise legitimately runs tight but rarely below 0.10%</t>
  </si>
  <si>
    <t>Fee = $0 + tight FX</t>
  </si>
  <si>
    <t>Fee=$0 AND FX markup &lt; 0.50%</t>
  </si>
  <si>
    <t>Combination of no fee and near-mid-market FX is almost always promotional</t>
  </si>
  <si>
    <t>TapTap steady-state has fee=$0 but wider FX</t>
  </si>
  <si>
    <t>Repeat capture check</t>
  </si>
  <si>
    <t>Same corridor/provider quote taken 4 weeks apart differ by &gt; 1.5%</t>
  </si>
  <si>
    <t>If steady-state price drifts materially week-over-week, prior weeks were promo</t>
  </si>
  <si>
    <t>Reclassify prior as Promo</t>
  </si>
  <si>
    <t>Requires 4+ weeks of Weekly Quote Capture history</t>
  </si>
  <si>
    <t>Explicit disclaimer</t>
  </si>
  <si>
    <t>Provider footer states 'promotional', 'introductory', 'limited time'</t>
  </si>
  <si>
    <t>Language on the quote or checkout screen that explicitly describes the pricing as temporary</t>
  </si>
  <si>
    <t>Screenshot for evidence</t>
  </si>
  <si>
    <t>A quote flagged 'Promo' by ANY rule above is excluded from steady-state ranking. Reclassification is manual — apply the rule label in the log below.</t>
  </si>
  <si>
    <t>Classified Quote Log — Promo vs Steady-State</t>
  </si>
  <si>
    <t>Week Of</t>
  </si>
  <si>
    <t>Classification</t>
  </si>
  <si>
    <t>Rule Applied</t>
  </si>
  <si>
    <t>Notes / Screenshot URL</t>
  </si>
  <si>
    <t>Steady-state</t>
  </si>
  <si>
    <t>Second-time user quote — matches published $1.99 baseline</t>
  </si>
  <si>
    <t>Rule 2</t>
  </si>
  <si>
    <t>First-transfer rate — FX better than mid-market</t>
  </si>
  <si>
    <t>Rule 4</t>
  </si>
  <si>
    <t>Fee=$0 AND FX markup &lt; 0.50% → promo</t>
  </si>
  <si>
    <t>Steady-State Cheapest Per Corridor (Promo excluded)</t>
  </si>
  <si>
    <t>Cheapest Provider (steady-state)</t>
  </si>
  <si>
    <t>Min All-in Cost USD</t>
  </si>
  <si>
    <t>Delta USD</t>
  </si>
  <si>
    <t>NexaRemit Wins?</t>
  </si>
  <si>
    <t>Method</t>
  </si>
  <si>
    <t>Yes</t>
  </si>
  <si>
    <t>MINIFS on Classification=Steady-state</t>
  </si>
  <si>
    <t>This block auto-updates as ops classify new rows in the log above. Only rows with Classification='Steady-state' feed the ranking.</t>
  </si>
  <si>
    <t>P3 Rollout Checklist</t>
  </si>
  <si>
    <t>P3-9 Legacy competitor quotes captured (WU + MG × 6 corridors)</t>
  </si>
  <si>
    <t>Target: within 4 weeks. Owner: Ops. Acceptance: 12 quote rows populated, headline generator produces text for all 6 corridors.</t>
  </si>
  <si>
    <t>P3-10 Promo classification live</t>
  </si>
  <si>
    <t>Target: within 6 weeks. Owner: Analytics + Ops. Acceptance: every quote in P1-5 weekly log classified as Promo or Steady-state; steady-state cheapest table populated.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</si>
</sst>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2356" formatCode="yyyy-mm-dd"/>
    <numFmt numFmtId="2358" formatCode="$#,##0.00"/>
    <numFmt numFmtId="2360" formatCode="#,##0.0000"/>
    <numFmt numFmtId="2560" formatCode="0.0000"/>
  </numFmts>
  <fonts count="28">
    <font>
      <sz val="11"/>
      <color theme="1"/>
      <name val="Calibri"/>
      <scheme val="minor"/>
    </font>
    <font>
      <b/>
      <i val="0"/>
      <sz val="16"/>
      <color rgb="FFFFFFFF"/>
      <name val="Calibri"/>
    </font>
    <font>
      <b val="0"/>
      <i/>
      <sz val="10"/>
      <color rgb="FF555555"/>
      <name val="Calibri"/>
    </font>
    <font>
      <b/>
      <i val="0"/>
      <sz val="11"/>
      <name val="Calibri"/>
    </font>
    <font>
      <b/>
      <i val="0"/>
      <sz val="14"/>
      <name val="Calibri"/>
    </font>
    <font>
      <b val="0"/>
      <i val="0"/>
      <sz val="11"/>
      <name val="Calibri"/>
    </font>
    <font>
      <b val="0"/>
      <i/>
      <sz val="11"/>
      <name val="Calibri"/>
    </font>
    <font>
      <b/>
      <i val="0"/>
      <sz val="12"/>
      <color rgb="FFFFFFFF"/>
      <name val="Calibri"/>
    </font>
    <font>
      <b/>
      <i val="0"/>
      <sz val="11"/>
      <color rgb="FFFFFFFF"/>
      <name val="Calibri"/>
    </font>
    <font>
      <b/>
      <i val="0"/>
      <sz val="24"/>
      <color rgb="FF1F3A68"/>
      <name val="Calibri"/>
    </font>
    <font>
      <b/>
      <i val="0"/>
      <sz val="24"/>
      <color rgb="FF375623"/>
      <name val="Calibri"/>
    </font>
    <font>
      <b/>
      <i val="0"/>
      <sz val="24"/>
      <color rgb="FF7F6000"/>
      <name val="Calibri"/>
    </font>
    <font>
      <b/>
      <i val="0"/>
      <sz val="24"/>
      <color rgb="FF595959"/>
      <name val="Calibri"/>
    </font>
    <font>
      <b val="0"/>
      <i/>
      <sz val="10"/>
      <color rgb="FF7F7F7F"/>
      <name val="Calibri"/>
    </font>
    <font>
      <b/>
      <i val="0"/>
      <sz val="14"/>
      <color rgb="FFFFFFFF"/>
      <name val="Calibri"/>
    </font>
    <font>
      <b/>
      <i val="0"/>
      <sz val="12"/>
      <name val="Calibri"/>
    </font>
    <font>
      <b/>
      <i val="0"/>
      <sz val="14"/>
      <color rgb="FF1F3864"/>
      <name val="Calibri"/>
    </font>
    <font>
      <b val="0"/>
      <i/>
      <sz val="11"/>
      <color rgb="FF7F7F7F"/>
      <name val="Calibri"/>
    </font>
    <font>
      <b/>
      <i val="0"/>
      <sz val="11"/>
      <color rgb="FF375623"/>
      <name val="Calibri"/>
    </font>
    <font>
      <name val="Calibri"/>
      <scheme val="minor"/>
    </font>
    <font>
      <b val="0"/>
      <i val="0"/>
      <u/>
      <sz val="11"/>
      <color rgb="FF0563C1"/>
      <name val="Calibri"/>
    </font>
    <font>
      <b/>
      <i val="0"/>
      <sz val="11"/>
      <color rgb="FF843C0C"/>
      <name val="Calibri"/>
    </font>
    <font>
      <b/>
      <i val="0"/>
      <sz val="11"/>
      <color rgb="FF7F6000"/>
      <name val="Calibri"/>
    </font>
    <font>
      <b/>
      <i val="0"/>
      <sz val="11"/>
      <color rgb="FF1F3864"/>
      <name val="Calibri"/>
    </font>
    <font>
      <b val="0"/>
      <i val="0"/>
      <sz val="11"/>
      <color rgb="FF7F7F7F"/>
      <name val="Calibri"/>
    </font>
    <font>
      <b val="0"/>
      <i val="0"/>
      <sz val="11"/>
      <color rgb="FF000000"/>
      <name val="Calibri"/>
    </font>
    <font>
      <b val="0"/>
      <i val="0"/>
      <sz val="10"/>
      <name val="Calibri"/>
    </font>
    <font>
      <color rgb="FF595959"/>
      <name val="Calibri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1F3A68"/>
      </patternFill>
    </fill>
    <fill>
      <patternFill patternType="solid">
        <fgColor rgb="FFF2F2F2"/>
      </patternFill>
    </fill>
    <fill>
      <patternFill patternType="solid">
        <fgColor rgb="FFFFF9E6"/>
      </patternFill>
    </fill>
    <fill>
      <patternFill patternType="solid">
        <fgColor rgb="FFFFFFFF"/>
      </patternFill>
    </fill>
    <fill>
      <patternFill patternType="solid">
        <fgColor rgb="FF2E5B93"/>
      </patternFill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DDEBF7"/>
      </patternFill>
    </fill>
    <fill>
      <patternFill patternType="solid">
        <fgColor rgb="FFC00000"/>
      </patternFill>
    </fill>
    <fill>
      <patternFill patternType="solid">
        <fgColor rgb="FFE67300"/>
      </patternFill>
    </fill>
    <fill>
      <patternFill patternType="solid">
        <fgColor rgb="FFFFC000"/>
      </patternFill>
    </fill>
    <fill>
      <patternFill patternType="solid">
        <fgColor rgb="FFDCE6F1"/>
      </patternFill>
    </fill>
    <fill>
      <patternFill patternType="solid">
        <fgColor rgb="FFD9E2F3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EAF4EA"/>
      </patternFill>
    </fill>
    <fill>
      <patternFill patternType="solid">
        <fgColor rgb="FFEAF0F7"/>
      </patternFill>
    </fill>
    <fill>
      <patternFill patternType="solid">
        <fgColor rgb="FFFDECEC"/>
      </patternFill>
    </fill>
    <fill>
      <patternFill patternType="solid">
        <fgColor rgb="FFF2E6F7"/>
      </patternFill>
    </fill>
    <fill>
      <patternFill patternType="solid">
        <fgColor rgb="FFFFF2E6"/>
      </patternFill>
    </fill>
  </fills>
  <borders count="5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ck">
        <color rgb="FFBFBFBF"/>
      </bottom>
    </border>
  </borders>
  <cellStyleXfs count="1">
    <xf numFmtId="0" fontId="0" fillId="0" borderId="1">
      <alignment horizontal="general" vertical="top"/>
    </xf>
  </cellStyleXfs>
  <cellXfs count="155">
    <xf numFmtId="0" fontId="0" fillId="0" borderId="1" xfId="0">
      <alignment vertical="top"/>
    </xf>
    <xf numFmtId="0" fontId="1" fillId="2" borderId="0" xfId="0">
      <alignment horizontal="center" vertical="center"/>
    </xf>
    <xf numFmtId="0" fontId="2" fillId="0" borderId="0" xfId="0">
      <alignment horizontal="left" vertical="center"/>
    </xf>
    <xf numFmtId="0" fontId="3" fillId="3" borderId="2" xfId="0">
      <alignment horizontal="center" vertical="center"/>
    </xf>
    <xf numFmtId="0" fontId="4" fillId="4" borderId="2" xfId="0">
      <alignment horizontal="center" vertical="center"/>
    </xf>
    <xf numFmtId="2356" fontId="5" fillId="4" borderId="2" xfId="0">
      <alignment horizontal="center" vertical="center"/>
    </xf>
    <xf numFmtId="2356" fontId="6" fillId="5" borderId="2" xfId="0">
      <alignment horizontal="center" vertical="center"/>
    </xf>
    <xf numFmtId="0" fontId="7" fillId="6" borderId="0" xfId="0">
      <alignment horizontal="left" vertical="center" indent="1"/>
    </xf>
    <xf numFmtId="0" fontId="8" fillId="7" borderId="0" xfId="0">
      <alignment horizontal="center" vertical="center"/>
    </xf>
    <xf numFmtId="0" fontId="9" fillId="5" borderId="3" xfId="0">
      <alignment horizontal="center" vertical="center"/>
    </xf>
    <xf numFmtId="0" fontId="10" fillId="8" borderId="3" xfId="0">
      <alignment horizontal="center" vertical="center"/>
    </xf>
    <xf numFmtId="0" fontId="11" fillId="9" borderId="3" xfId="0">
      <alignment horizontal="center" vertical="center"/>
    </xf>
    <xf numFmtId="0" fontId="12" fillId="3" borderId="3" xfId="0">
      <alignment horizontal="center" vertical="center"/>
    </xf>
    <xf numFmtId="0" fontId="13" fillId="0" borderId="0" xfId="0">
      <alignment horizontal="center" vertical="center"/>
    </xf>
    <xf numFmtId="10" fontId="13" fillId="0" borderId="0" xfId="0">
      <alignment horizontal="center" vertical="center"/>
    </xf>
    <xf numFmtId="0" fontId="13" fillId="0" borderId="0" xfId="0">
      <alignment horizontal="left" vertical="center"/>
    </xf>
    <xf numFmtId="49" fontId="8" fillId="2" borderId="2" xfId="0">
      <alignment horizontal="center" vertical="center"/>
    </xf>
    <xf numFmtId="0" fontId="5" fillId="5" borderId="2" xfId="0">
      <alignment vertical="center"/>
    </xf>
    <xf numFmtId="0" fontId="3" fillId="5" borderId="2" xfId="0">
      <alignment vertical="center"/>
    </xf>
    <xf numFmtId="0" fontId="5" fillId="5" borderId="2" xfId="0">
      <alignment horizontal="center" vertical="center"/>
    </xf>
    <xf numFmtId="10" fontId="3" fillId="5" borderId="2" xfId="0">
      <alignment horizontal="center" vertical="center"/>
    </xf>
    <xf numFmtId="0" fontId="5" fillId="10" borderId="2" xfId="0">
      <alignment vertical="center"/>
    </xf>
    <xf numFmtId="0" fontId="3" fillId="10" borderId="2" xfId="0">
      <alignment vertical="center"/>
    </xf>
    <xf numFmtId="0" fontId="5" fillId="10" borderId="2" xfId="0">
      <alignment horizontal="center" vertical="center"/>
    </xf>
    <xf numFmtId="10" fontId="3" fillId="10" borderId="2" xfId="0">
      <alignment horizontal="center" vertical="center"/>
    </xf>
    <xf numFmtId="0" fontId="3" fillId="11" borderId="4" xfId="0">
      <alignment horizontal="left" vertical="center"/>
    </xf>
    <xf numFmtId="0" fontId="3" fillId="11" borderId="4" xfId="0">
      <alignment horizontal="center" vertical="center"/>
    </xf>
    <xf numFmtId="10" fontId="3" fillId="11" borderId="4" xfId="0">
      <alignment horizontal="center" vertical="center"/>
    </xf>
    <xf numFmtId="0" fontId="8" fillId="2" borderId="2" xfId="0">
      <alignment horizontal="center" vertical="center"/>
    </xf>
    <xf numFmtId="0" fontId="3" fillId="5" borderId="2" xfId="0">
      <alignment horizontal="center" vertical="center"/>
    </xf>
    <xf numFmtId="0" fontId="13" fillId="5" borderId="2" xfId="0">
      <alignment horizontal="center" vertical="center"/>
    </xf>
    <xf numFmtId="0" fontId="3" fillId="10" borderId="2" xfId="0">
      <alignment horizontal="center" vertical="center"/>
    </xf>
    <xf numFmtId="0" fontId="13" fillId="10" borderId="2" xfId="0">
      <alignment horizontal="center" vertical="center"/>
    </xf>
    <xf numFmtId="0" fontId="14" fillId="12" borderId="2" xfId="0">
      <alignment horizontal="center" vertical="center"/>
    </xf>
    <xf numFmtId="0" fontId="3" fillId="0" borderId="2" xfId="0">
      <alignment vertical="center"/>
    </xf>
    <xf numFmtId="0" fontId="5" fillId="0" borderId="2" xfId="0">
      <alignment horizontal="center" vertical="center"/>
    </xf>
    <xf numFmtId="0" fontId="15" fillId="0" borderId="2" xfId="0">
      <alignment horizontal="center" vertical="center"/>
    </xf>
    <xf numFmtId="0" fontId="6" fillId="0" borderId="2" xfId="0">
      <alignment horizontal="left" vertical="center"/>
    </xf>
    <xf numFmtId="0" fontId="14" fillId="13" borderId="2" xfId="0">
      <alignment horizontal="center" vertical="center"/>
    </xf>
    <xf numFmtId="0" fontId="16" fillId="14" borderId="2" xfId="0">
      <alignment horizontal="center" vertical="center"/>
    </xf>
    <xf numFmtId="0" fontId="16" fillId="5" borderId="2" xfId="0">
      <alignment horizontal="center" vertical="center"/>
    </xf>
    <xf numFmtId="0" fontId="17" fillId="5" borderId="2" xfId="0">
      <alignment vertical="center"/>
    </xf>
    <xf numFmtId="0" fontId="18" fillId="8" borderId="2" xfId="0">
      <alignment horizontal="center" vertical="center"/>
    </xf>
    <xf numFmtId="0" fontId="6" fillId="5" borderId="2" xfId="0">
      <alignment vertical="center"/>
    </xf>
    <xf numFmtId="0" fontId="16" fillId="10" borderId="2" xfId="0">
      <alignment horizontal="center" vertical="center"/>
    </xf>
    <xf numFmtId="0" fontId="17" fillId="10" borderId="2" xfId="0">
      <alignment vertical="center"/>
    </xf>
    <xf numFmtId="0" fontId="6" fillId="10" borderId="2" xfId="0">
      <alignment vertical="center"/>
    </xf>
    <xf numFmtId="0" fontId="14" fillId="2" borderId="0" xfId="0">
      <alignment horizontal="center" vertical="center"/>
    </xf>
    <xf numFmtId="49" fontId="15" fillId="15" borderId="2" xfId="0">
      <alignment horizontal="left" vertical="center"/>
    </xf>
    <xf numFmtId="49" fontId="19" fillId="0" borderId="0" xfId="0">
      <alignment vertical="top"/>
    </xf>
    <xf numFmtId="2358" fontId="19" fillId="0" borderId="0" xfId="0">
      <alignment vertical="top"/>
    </xf>
    <xf numFmtId="2360" fontId="19" fillId="0" borderId="0" xfId="0">
      <alignment vertical="top"/>
    </xf>
    <xf numFmtId="4" fontId="19" fillId="0" borderId="0" xfId="0">
      <alignment vertical="top"/>
    </xf>
    <xf numFmtId="10" fontId="19" fillId="0" borderId="0" xfId="0">
      <alignment vertical="top"/>
    </xf>
    <xf numFmtId="49" fontId="5" fillId="0" borderId="2" xfId="0">
      <alignment vertical="center"/>
    </xf>
    <xf numFmtId="2358" fontId="5" fillId="0" borderId="2" xfId="0">
      <alignment vertical="center"/>
    </xf>
    <xf numFmtId="2360" fontId="5" fillId="0" borderId="2" xfId="0">
      <alignment vertical="center"/>
    </xf>
    <xf numFmtId="4" fontId="5" fillId="0" borderId="2" xfId="0">
      <alignment vertical="center"/>
    </xf>
    <xf numFmtId="10" fontId="5" fillId="0" borderId="2" xfId="0">
      <alignment vertical="center"/>
    </xf>
    <xf numFmtId="49" fontId="20" fillId="0" borderId="2" xfId="0">
      <alignment vertical="center"/>
    </xf>
    <xf numFmtId="49" fontId="5" fillId="0" borderId="2" xfId="0">
      <alignment vertical="top"/>
    </xf>
    <xf numFmtId="2358" fontId="5" fillId="0" borderId="2" xfId="0">
      <alignment vertical="top"/>
    </xf>
    <xf numFmtId="2358" fontId="5" fillId="4" borderId="2" xfId="0">
      <alignment vertical="top"/>
    </xf>
    <xf numFmtId="2360" fontId="5" fillId="4" borderId="2" xfId="0">
      <alignment vertical="top"/>
    </xf>
    <xf numFmtId="4" fontId="5" fillId="4" borderId="2" xfId="0">
      <alignment vertical="top"/>
    </xf>
    <xf numFmtId="10" fontId="5" fillId="4" borderId="2" xfId="0">
      <alignment vertical="top"/>
    </xf>
    <xf numFmtId="49" fontId="5" fillId="4" borderId="2" xfId="0">
      <alignment vertical="top"/>
    </xf>
    <xf numFmtId="0" fontId="14" fillId="6" borderId="0" xfId="0">
      <alignment horizontal="center" vertical="center"/>
    </xf>
    <xf numFmtId="0" fontId="3" fillId="16" borderId="2" xfId="0">
      <alignment horizontal="center" vertical="top"/>
    </xf>
    <xf numFmtId="0" fontId="5" fillId="0" borderId="2" xfId="0">
      <alignment vertical="top"/>
    </xf>
    <xf numFmtId="0" fontId="5" fillId="3" borderId="2" xfId="0">
      <alignment vertical="top"/>
    </xf>
    <xf numFmtId="2358" fontId="5" fillId="3" borderId="2" xfId="0">
      <alignment vertical="top"/>
    </xf>
    <xf numFmtId="0" fontId="3" fillId="15" borderId="2" xfId="0">
      <alignment horizontal="center" vertical="top"/>
    </xf>
    <xf numFmtId="0" fontId="3" fillId="0" borderId="2" xfId="0">
      <alignment vertical="top"/>
    </xf>
    <xf numFmtId="0" fontId="20" fillId="0" borderId="2" xfId="0">
      <alignment vertical="top"/>
    </xf>
    <xf numFmtId="0" fontId="2" fillId="0" borderId="0" xfId="0">
      <alignment vertical="center"/>
    </xf>
    <xf numFmtId="0" fontId="5" fillId="5" borderId="2" xfId="0">
      <alignment vertical="top"/>
    </xf>
    <xf numFmtId="0" fontId="3" fillId="3" borderId="2" xfId="0">
      <alignment vertical="center"/>
    </xf>
    <xf numFmtId="0" fontId="5" fillId="3" borderId="2" xfId="0">
      <alignment vertical="center"/>
    </xf>
    <xf numFmtId="0" fontId="3" fillId="5" borderId="2" xfId="0">
      <alignment horizontal="center" vertical="top"/>
    </xf>
    <xf numFmtId="0" fontId="5" fillId="5" borderId="2" xfId="0">
      <alignment horizontal="left" vertical="top"/>
    </xf>
    <xf numFmtId="0" fontId="21" fillId="17" borderId="2" xfId="0">
      <alignment horizontal="center" vertical="center"/>
    </xf>
    <xf numFmtId="0" fontId="22" fillId="9" borderId="2" xfId="0">
      <alignment horizontal="center" vertical="center"/>
    </xf>
    <xf numFmtId="0" fontId="3" fillId="10" borderId="2" xfId="0">
      <alignment horizontal="center" vertical="top"/>
    </xf>
    <xf numFmtId="0" fontId="5" fillId="10" borderId="2" xfId="0">
      <alignment horizontal="left" vertical="top"/>
    </xf>
    <xf numFmtId="0" fontId="22" fillId="18" borderId="2" xfId="0">
      <alignment horizontal="center" vertical="center"/>
    </xf>
    <xf numFmtId="0" fontId="23" fillId="16" borderId="2" xfId="0">
      <alignment horizontal="center" vertical="center"/>
    </xf>
    <xf numFmtId="0" fontId="7" fillId="6" borderId="0" xfId="0">
      <alignment horizontal="center" vertical="center"/>
    </xf>
    <xf numFmtId="0" fontId="5" fillId="3" borderId="2" xfId="0">
      <alignment horizontal="left" vertical="top"/>
    </xf>
    <xf numFmtId="0" fontId="5" fillId="0" borderId="2" xfId="0">
      <alignment horizontal="left" vertical="center"/>
    </xf>
    <xf numFmtId="2560" fontId="5" fillId="4" borderId="2" xfId="0">
      <alignment horizontal="center" vertical="center"/>
    </xf>
    <xf numFmtId="10" fontId="5" fillId="0" borderId="2" xfId="0">
      <alignment horizontal="center" vertical="center"/>
    </xf>
    <xf numFmtId="2358" fontId="5" fillId="4" borderId="2" xfId="0">
      <alignment horizontal="center" vertical="center"/>
    </xf>
    <xf numFmtId="4" fontId="5" fillId="0" borderId="2" xfId="0">
      <alignment horizontal="center" vertical="center"/>
    </xf>
    <xf numFmtId="2358" fontId="5" fillId="0" borderId="2" xfId="0">
      <alignment horizontal="center" vertical="center"/>
    </xf>
    <xf numFmtId="2560" fontId="24" fillId="5" borderId="2" xfId="0">
      <alignment horizontal="center" vertical="center"/>
    </xf>
    <xf numFmtId="2560" fontId="25" fillId="4" borderId="2" xfId="0">
      <alignment horizontal="center" vertical="center"/>
    </xf>
    <xf numFmtId="2560" fontId="5" fillId="0" borderId="2" xfId="0">
      <alignment horizontal="center" vertical="center"/>
    </xf>
    <xf numFmtId="0" fontId="26" fillId="19" borderId="2" xfId="0">
      <alignment horizontal="center" vertical="center"/>
    </xf>
    <xf numFmtId="0" fontId="26" fillId="19" borderId="2" xfId="0">
      <alignment horizontal="left" vertical="center"/>
    </xf>
    <xf numFmtId="2358" fontId="26" fillId="4" borderId="2" xfId="0">
      <alignment horizontal="center" vertical="center"/>
    </xf>
    <xf numFmtId="2560" fontId="26" fillId="4" borderId="2" xfId="0">
      <alignment horizontal="center" vertical="center"/>
    </xf>
    <xf numFmtId="10" fontId="26" fillId="5" borderId="2" xfId="0">
      <alignment horizontal="center" vertical="center"/>
    </xf>
    <xf numFmtId="2358" fontId="26" fillId="5" borderId="2" xfId="0">
      <alignment horizontal="center" vertical="center"/>
    </xf>
    <xf numFmtId="0" fontId="26" fillId="4" borderId="2" xfId="0">
      <alignment horizontal="left" vertical="center"/>
    </xf>
    <xf numFmtId="0" fontId="26" fillId="4" borderId="2" xfId="0">
      <alignment horizontal="center" vertical="center"/>
    </xf>
    <xf numFmtId="0" fontId="26" fillId="20" borderId="2" xfId="0">
      <alignment horizontal="center" vertical="center"/>
    </xf>
    <xf numFmtId="0" fontId="26" fillId="20" borderId="2" xfId="0">
      <alignment horizontal="left" vertical="center"/>
    </xf>
    <xf numFmtId="0" fontId="26" fillId="21" borderId="2" xfId="0">
      <alignment horizontal="center" vertical="center"/>
    </xf>
    <xf numFmtId="0" fontId="26" fillId="21" borderId="2" xfId="0">
      <alignment horizontal="left" vertical="center"/>
    </xf>
    <xf numFmtId="0" fontId="26" fillId="22" borderId="2" xfId="0">
      <alignment horizontal="center" vertical="center"/>
    </xf>
    <xf numFmtId="0" fontId="26" fillId="22" borderId="2" xfId="0">
      <alignment horizontal="left" vertical="center"/>
    </xf>
    <xf numFmtId="0" fontId="26" fillId="23" borderId="2" xfId="0">
      <alignment horizontal="center" vertical="center"/>
    </xf>
    <xf numFmtId="0" fontId="26" fillId="23" borderId="2" xfId="0">
      <alignment horizontal="left" vertical="center"/>
    </xf>
    <xf numFmtId="0" fontId="3" fillId="10" borderId="2" xfId="0">
      <alignment horizontal="left" vertical="center" indent="1"/>
    </xf>
    <xf numFmtId="0" fontId="5" fillId="10" borderId="2" xfId="0">
      <alignment horizontal="left" vertical="center"/>
    </xf>
    <xf numFmtId="0" fontId="3" fillId="5" borderId="2" xfId="0">
      <alignment horizontal="left" vertical="center" indent="1"/>
    </xf>
    <xf numFmtId="0" fontId="5" fillId="5" borderId="2" xfId="0">
      <alignment horizontal="left" vertical="center"/>
    </xf>
    <xf numFmtId="0" fontId="8" fillId="2" borderId="2" xfId="0">
      <alignment horizontal="center" vertical="center"/>
    </xf>
    <xf numFmtId="49" fontId="5" fillId="4" borderId="2" xfId="0">
      <alignment horizontal="center" vertical="center"/>
    </xf>
    <xf numFmtId="2560" fontId="24" fillId="0" borderId="2" xfId="0">
      <alignment horizontal="center" vertical="center"/>
    </xf>
    <xf numFmtId="0" fontId="5" fillId="4" borderId="2" xfId="0">
      <alignment horizontal="center" vertical="center"/>
    </xf>
    <xf numFmtId="0" fontId="8" fillId="7" borderId="0" xfId="0">
      <alignment horizontal="left" vertical="center" indent="1"/>
    </xf>
    <xf numFmtId="0" fontId="3" fillId="10" borderId="2" xfId="0">
      <alignment horizontal="left" vertical="center"/>
    </xf>
    <xf numFmtId="10" fontId="3" fillId="4" borderId="2" xfId="0">
      <alignment horizontal="center" vertical="center"/>
    </xf>
    <xf numFmtId="10" fontId="3" fillId="0" borderId="2" xfId="0">
      <alignment horizontal="center" vertical="center"/>
    </xf>
    <xf numFmtId="0" fontId="3" fillId="0" borderId="2" xfId="0">
      <alignment horizontal="center" vertical="center"/>
    </xf>
    <xf numFmtId="2" fontId="3" fillId="0" borderId="2" xfId="0">
      <alignment horizontal="center" vertical="center"/>
    </xf>
    <xf numFmtId="0" fontId="19" fillId="0" borderId="2" xfId="0">
      <alignment vertical="top"/>
    </xf>
    <xf numFmtId="0" fontId="3" fillId="5" borderId="2" xfId="0">
      <alignment horizontal="left" vertical="center"/>
    </xf>
    <xf numFmtId="0" fontId="19" fillId="19" borderId="2" xfId="0">
      <alignment horizontal="center" vertical="center"/>
    </xf>
    <xf numFmtId="2358" fontId="19" fillId="4" borderId="2" xfId="0">
      <alignment horizontal="right" vertical="center"/>
    </xf>
    <xf numFmtId="2560" fontId="19" fillId="4" borderId="2" xfId="0">
      <alignment horizontal="right" vertical="center"/>
    </xf>
    <xf numFmtId="10" fontId="19" fillId="0" borderId="2" xfId="0">
      <alignment horizontal="right" vertical="center"/>
    </xf>
    <xf numFmtId="2358" fontId="19" fillId="0" borderId="2" xfId="0">
      <alignment horizontal="right" vertical="center"/>
    </xf>
    <xf numFmtId="0" fontId="19" fillId="4" borderId="2" xfId="0">
      <alignment horizontal="left" vertical="center"/>
    </xf>
    <xf numFmtId="0" fontId="19" fillId="4" borderId="2" xfId="0">
      <alignment horizontal="center" vertical="center"/>
    </xf>
    <xf numFmtId="0" fontId="19" fillId="21" borderId="2" xfId="0">
      <alignment horizontal="center" vertical="center"/>
    </xf>
    <xf numFmtId="0" fontId="19" fillId="23" borderId="2" xfId="0">
      <alignment horizontal="center" vertical="center"/>
    </xf>
    <xf numFmtId="0" fontId="19" fillId="22" borderId="2" xfId="0">
      <alignment horizontal="center" vertical="center"/>
    </xf>
    <xf numFmtId="0" fontId="19" fillId="20" borderId="2" xfId="0">
      <alignment horizontal="center" vertical="center"/>
    </xf>
    <xf numFmtId="0" fontId="19" fillId="0" borderId="2" xfId="0">
      <alignment horizontal="center" vertical="center"/>
    </xf>
    <xf numFmtId="2358" fontId="27" fillId="0" borderId="2" xfId="0">
      <alignment horizontal="right" vertical="center"/>
    </xf>
    <xf numFmtId="2358" fontId="3" fillId="0" borderId="2" xfId="0">
      <alignment horizontal="right" vertical="center"/>
    </xf>
    <xf numFmtId="10" fontId="3" fillId="0" borderId="2" xfId="0">
      <alignment horizontal="right" vertical="center"/>
    </xf>
    <xf numFmtId="0" fontId="6" fillId="10" borderId="2" xfId="0">
      <alignment horizontal="left" vertical="center"/>
    </xf>
    <xf numFmtId="0" fontId="19" fillId="5" borderId="2" xfId="0">
      <alignment horizontal="center" vertical="center"/>
    </xf>
    <xf numFmtId="0" fontId="19" fillId="5" borderId="2" xfId="0">
      <alignment horizontal="left" vertical="center"/>
    </xf>
    <xf numFmtId="0" fontId="19" fillId="10" borderId="2" xfId="0">
      <alignment horizontal="center" vertical="center"/>
    </xf>
    <xf numFmtId="0" fontId="19" fillId="10" borderId="2" xfId="0">
      <alignment horizontal="left" vertical="center"/>
    </xf>
    <xf numFmtId="2358" fontId="19" fillId="4" borderId="2" xfId="0">
      <alignment horizontal="center" vertical="center"/>
    </xf>
    <xf numFmtId="10" fontId="19" fillId="4" borderId="2" xfId="0">
      <alignment horizontal="center" vertical="center"/>
    </xf>
    <xf numFmtId="0" fontId="19" fillId="0" borderId="2" xfId="0">
      <alignment horizontal="left" vertical="center"/>
    </xf>
    <xf numFmtId="2358" fontId="19" fillId="0" borderId="2" xfId="0">
      <alignment horizontal="center" vertical="center"/>
    </xf>
    <xf numFmtId="0" fontId="7" fillId="6" borderId="0" xfId="0">
      <alignment horizontal="center" vertical="center" indent="1"/>
    </xf>
  </cellXfs>
  <cellStyles count="1">
    <cellStyle name="Normal" xfId="0" builtinId="0"/>
  </cellStyles>
  <dxfs count="26">
    <dxf>
      <font>
        <b/>
        <i val="0"/>
        <sz val="11"/>
        <color rgb="FF375623"/>
        <name val="Calibri"/>
      </font>
      <fill>
        <patternFill patternType="solid">
          <fgColor rgb="FFE2EFDA"/>
          <bgColor rgb="FFE2EFDA"/>
        </patternFill>
      </fill>
      <alignment horizontal="center"/>
    </dxf>
    <dxf>
      <font>
        <b/>
        <i val="0"/>
        <sz val="11"/>
        <color rgb="FF7F6000"/>
        <name val="Calibri"/>
      </font>
      <fill>
        <patternFill patternType="solid">
          <fgColor rgb="FFFFF2CC"/>
          <bgColor rgb="FFFFF2CC"/>
        </patternFill>
      </fill>
      <alignment horizontal="center"/>
    </dxf>
    <dxf>
      <font>
        <b/>
        <i val="0"/>
        <sz val="11"/>
        <color rgb="FF843C0C"/>
        <name val="Calibri"/>
      </font>
      <fill>
        <patternFill patternType="solid">
          <fgColor rgb="FFFCE4D6"/>
          <bgColor rgb="FFFCE4D6"/>
        </patternFill>
      </fill>
      <alignment horizontal="center"/>
    </dxf>
    <dxf>
      <font>
        <b/>
        <i val="0"/>
        <sz val="11"/>
        <color rgb="FF843C0C"/>
        <name val="Calibri"/>
      </font>
      <fill>
        <patternFill patternType="solid">
          <fgColor rgb="FFF8CBAD"/>
          <bgColor rgb="FFF8CBAD"/>
        </patternFill>
      </fill>
      <alignment horizontal="center"/>
    </dxf>
    <dxf>
      <font>
        <b/>
        <i val="0"/>
        <sz val="11"/>
        <color rgb="FF7F6000"/>
        <name val="Calibri"/>
      </font>
      <fill>
        <patternFill patternType="solid">
          <fgColor rgb="FFFFE699"/>
          <bgColor rgb="FFFFE699"/>
        </patternFill>
      </fill>
      <alignment horizontal="center"/>
    </dxf>
    <dxf>
      <font>
        <b/>
        <i val="0"/>
        <sz val="11"/>
        <color rgb="FF1F3864"/>
        <name val="Calibri"/>
      </font>
      <fill>
        <patternFill patternType="solid">
          <fgColor rgb="FFD9E2F3"/>
          <bgColor rgb="FFD9E2F3"/>
        </patternFill>
      </fill>
      <alignment horizontal="center"/>
    </dxf>
    <dxf>
      <font>
        <b/>
        <i val="0"/>
        <sz val="11"/>
        <color rgb="FF595959"/>
        <name val="Calibri"/>
      </font>
      <fill>
        <patternFill patternType="solid">
          <fgColor rgb="FFF2F2F2"/>
          <bgColor rgb="FFF2F2F2"/>
        </patternFill>
      </fill>
      <alignment horizontal="center"/>
    </dxf>
    <dxf>
      <font>
        <b/>
        <i val="0"/>
        <sz val="11"/>
        <color rgb="FF375623"/>
        <name val="Calibri"/>
      </font>
      <alignment horizontal="center"/>
    </dxf>
    <dxf>
      <font>
        <b/>
        <i val="0"/>
        <sz val="11"/>
        <color rgb="FFC00000"/>
        <name val="Calibri"/>
      </font>
      <alignment horizontal="center"/>
    </dxf>
    <dxf>
      <font>
        <b/>
        <i val="0"/>
        <sz val="11"/>
        <color rgb="FFBF8F00"/>
        <name val="Calibri"/>
      </font>
      <alignment horizontal="center"/>
    </dxf>
    <dxf>
      <font>
        <b/>
        <i val="0"/>
        <sz val="11"/>
        <color rgb="FF1F3864"/>
        <name val="Calibri"/>
      </font>
      <alignment horizontal="center"/>
    </dxf>
    <dxf>
      <font>
        <b/>
        <i val="0"/>
        <sz val="12"/>
        <color rgb="FF843C0C"/>
        <name val="Calibri"/>
      </font>
      <fill>
        <patternFill patternType="solid">
          <fgColor rgb="FFFCE4D6"/>
          <bgColor rgb="FFFCE4D6"/>
        </patternFill>
      </fill>
      <alignment horizontal="center"/>
    </dxf>
    <dxf>
      <font>
        <b/>
        <i val="0"/>
        <sz val="12"/>
        <color rgb="FF7F6000"/>
        <name val="Calibri"/>
      </font>
      <fill>
        <patternFill patternType="solid">
          <fgColor rgb="FFFFF2CC"/>
          <bgColor rgb="FFFFF2CC"/>
        </patternFill>
      </fill>
      <alignment horizontal="center"/>
    </dxf>
    <dxf>
      <font>
        <b/>
        <i val="0"/>
        <sz val="11"/>
        <color rgb="FF375623"/>
        <name val="Calibri"/>
      </font>
      <fill>
        <patternFill patternType="solid">
          <fgColor rgb="FFE2F0D9"/>
          <bgColor rgb="FFE2F0D9"/>
        </patternFill>
      </fill>
    </dxf>
    <dxf>
      <font>
        <b/>
        <i val="0"/>
        <sz val="11"/>
        <color rgb="FF375623"/>
        <name val="Calibri"/>
      </font>
      <fill>
        <patternFill patternType="solid">
          <fgColor rgb="FFE2EFDA"/>
          <bgColor rgb="FFE2EFDA"/>
        </patternFill>
      </fill>
    </dxf>
    <dxf>
      <font>
        <b/>
        <i val="0"/>
        <sz val="11"/>
        <color rgb="FF843C0C"/>
        <name val="Calibri"/>
      </font>
      <fill>
        <patternFill patternType="solid">
          <fgColor rgb="FFFCE4D6"/>
          <bgColor rgb="FFFCE4D6"/>
        </patternFill>
      </fill>
    </dxf>
    <dxf>
      <font>
        <b/>
        <i val="0"/>
        <sz val="11"/>
        <color rgb="FF1F3A68"/>
        <name val="Calibri"/>
      </font>
      <fill>
        <patternFill patternType="solid">
          <fgColor rgb="FFDDEBF7"/>
          <bgColor rgb="FFDDEBF7"/>
        </patternFill>
      </fill>
    </dxf>
    <dxf>
      <font>
        <color rgb="FF375623"/>
      </font>
    </dxf>
    <dxf>
      <font>
        <color rgb="FF843C0C"/>
      </font>
    </dxf>
    <dxf>
      <font>
        <b val="0"/>
        <i/>
        <sz val="11"/>
        <color rgb="FF7F7F7F"/>
        <name val="Calibri"/>
      </font>
    </dxf>
    <dxf>
      <font>
        <b/>
        <i val="0"/>
        <sz val="11"/>
        <color rgb="FF7F6000"/>
        <name val="Calibri"/>
      </font>
      <fill>
        <patternFill patternType="solid">
          <fgColor rgb="FFFFF2CC"/>
          <bgColor rgb="FFFFF2CC"/>
        </patternFill>
      </fill>
    </dxf>
    <dxf>
      <font>
        <b/>
        <i val="0"/>
        <sz val="11"/>
        <color rgb="FFFFFFFF"/>
        <name val="Calibri"/>
      </font>
      <fill>
        <patternFill patternType="solid">
          <fgColor rgb="FFC00000"/>
          <bgColor rgb="FFC00000"/>
        </patternFill>
      </fill>
    </dxf>
    <dxf>
      <font>
        <color rgb="FF595959"/>
      </font>
      <fill>
        <patternFill patternType="solid">
          <fgColor rgb="FFF2F2F2"/>
          <bgColor rgb="FFF2F2F2"/>
        </patternFill>
      </fill>
    </dxf>
    <dxf>
      <font>
        <color rgb="FF7F7F7F"/>
      </font>
    </dxf>
    <dxf>
      <font>
        <color rgb="FF375623"/>
      </font>
      <fill>
        <patternFill patternType="solid">
          <fgColor rgb="FFE2EFDA"/>
          <bgColor rgb="FFE2EFDA"/>
        </patternFill>
      </fill>
    </dxf>
    <dxf>
      <font>
        <color rgb="FF843C0C"/>
      </font>
      <fill>
        <patternFill patternType="solid">
          <fgColor rgb="FFFCE4D6"/>
          <bgColor rgb="FFFCE4D6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Relationship Id="rId10" Type="http://schemas.openxmlformats.org/officeDocument/2006/relationships/theme" Target="theme/theme1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arget="https://nexaremit.com" Type="http://schemas.openxmlformats.org/officeDocument/2006/relationships/hyperlink" TargetMode="External"/><Relationship Id="rId2" Target="https://www.taptapsend.com/en/send-money-to/nigeria" Type="http://schemas.openxmlformats.org/officeDocument/2006/relationships/hyperlink" TargetMode="External"/><Relationship Id="rId3" Target="https://wise.com/us/send-money/send-money-to-nigeria" Type="http://schemas.openxmlformats.org/officeDocument/2006/relationships/hyperlink" TargetMode="External"/><Relationship Id="rId4" Target="https://www.remitly.com/us/en/money-transfer/send-money-to-nigeria" Type="http://schemas.openxmlformats.org/officeDocument/2006/relationships/hyperlink" TargetMode="External"/><Relationship Id="rId5" Target="https://www.worldremit.com/en/nigeria" Type="http://schemas.openxmlformats.org/officeDocument/2006/relationships/hyperlink" TargetMode="External"/><Relationship Id="rId6" Target="https://www.xoom.com/nigeria/send-money" Type="http://schemas.openxmlformats.org/officeDocument/2006/relationships/hyperlink" TargetMode="External"/><Relationship Id="rId7" Target="https://nexaremit.com" Type="http://schemas.openxmlformats.org/officeDocument/2006/relationships/hyperlink" TargetMode="External"/><Relationship Id="rId8" Target="https://www.taptapsend.com/en/send-money-to/ghana" Type="http://schemas.openxmlformats.org/officeDocument/2006/relationships/hyperlink" TargetMode="External"/><Relationship Id="rId9" Target="https://wise.com/us/send-money/send-money-to-ghana" Type="http://schemas.openxmlformats.org/officeDocument/2006/relationships/hyperlink" TargetMode="External"/><Relationship Id="rId10" Target="https://www.remitly.com/us/en/money-transfer/send-money-to-ghana" Type="http://schemas.openxmlformats.org/officeDocument/2006/relationships/hyperlink" TargetMode="External"/><Relationship Id="rId11" Target="https://www.worldremit.com/en/ghana" Type="http://schemas.openxmlformats.org/officeDocument/2006/relationships/hyperlink" TargetMode="External"/><Relationship Id="rId12" Target="https://www.xoom.com/ghana/send-money" Type="http://schemas.openxmlformats.org/officeDocument/2006/relationships/hyperlink" TargetMode="External"/><Relationship Id="rId13" Target="https://nexaremit.com" Type="http://schemas.openxmlformats.org/officeDocument/2006/relationships/hyperlink" TargetMode="External"/><Relationship Id="rId14" Target="https://www.taptapsend.com/en" Type="http://schemas.openxmlformats.org/officeDocument/2006/relationships/hyperlink" TargetMode="External"/><Relationship Id="rId15" Target="https://wise.com/us/send-money/send-money-to-india" Type="http://schemas.openxmlformats.org/officeDocument/2006/relationships/hyperlink" TargetMode="External"/><Relationship Id="rId16" Target="https://www.remitly.com/us/en/money-transfer/send-money-to-india" Type="http://schemas.openxmlformats.org/officeDocument/2006/relationships/hyperlink" TargetMode="External"/><Relationship Id="rId17" Target="https://www.worldremit.com/en/india" Type="http://schemas.openxmlformats.org/officeDocument/2006/relationships/hyperlink" TargetMode="External"/><Relationship Id="rId18" Target="https://www.xoom.com/india/send-money" Type="http://schemas.openxmlformats.org/officeDocument/2006/relationships/hyperlink" TargetMode="External"/><Relationship Id="rId19" Target="https://nexaremit.com" Type="http://schemas.openxmlformats.org/officeDocument/2006/relationships/hyperlink" TargetMode="External"/><Relationship Id="rId20" Target="https://www.taptapsend.com/en/send-money-to/kenya" Type="http://schemas.openxmlformats.org/officeDocument/2006/relationships/hyperlink" TargetMode="External"/><Relationship Id="rId21" Target="https://wise.com/us/send-money/send-money-to-kenya" Type="http://schemas.openxmlformats.org/officeDocument/2006/relationships/hyperlink" TargetMode="External"/><Relationship Id="rId22" Target="https://www.remitly.com/us/en/money-transfer/send-money-to-kenya" Type="http://schemas.openxmlformats.org/officeDocument/2006/relationships/hyperlink" TargetMode="External"/><Relationship Id="rId23" Target="https://www.worldremit.com/en/kenya" Type="http://schemas.openxmlformats.org/officeDocument/2006/relationships/hyperlink" TargetMode="External"/><Relationship Id="rId24" Target="https://www.xoom.com/kenya/send-money" Type="http://schemas.openxmlformats.org/officeDocument/2006/relationships/hyperlink" TargetMode="External"/><Relationship Id="rId25" Target="https://nexaremit.com" Type="http://schemas.openxmlformats.org/officeDocument/2006/relationships/hyperlink" TargetMode="External"/><Relationship Id="rId26" Target="https://www.taptapsend.com/en" Type="http://schemas.openxmlformats.org/officeDocument/2006/relationships/hyperlink" TargetMode="External"/><Relationship Id="rId27" Target="https://wise.com/us/send-money/send-money-to-philippines" Type="http://schemas.openxmlformats.org/officeDocument/2006/relationships/hyperlink" TargetMode="External"/><Relationship Id="rId28" Target="https://www.remitly.com/us/en/money-transfer/send-money-to-philippines" Type="http://schemas.openxmlformats.org/officeDocument/2006/relationships/hyperlink" TargetMode="External"/><Relationship Id="rId29" Target="https://www.worldremit.com/en/philippines" Type="http://schemas.openxmlformats.org/officeDocument/2006/relationships/hyperlink" TargetMode="External"/><Relationship Id="rId30" Target="https://www.xoom.com/philippines/send-money" Type="http://schemas.openxmlformats.org/officeDocument/2006/relationships/hyperlink" TargetMode="External"/><Relationship Id="rId31" Target="https://nexaremit.com" Type="http://schemas.openxmlformats.org/officeDocument/2006/relationships/hyperlink" TargetMode="External"/><Relationship Id="rId32" Target="https://www.taptapsend.com/en" Type="http://schemas.openxmlformats.org/officeDocument/2006/relationships/hyperlink" TargetMode="External"/><Relationship Id="rId33" Target="https://wise.com/us/send-money/send-money-to-mexico" Type="http://schemas.openxmlformats.org/officeDocument/2006/relationships/hyperlink" TargetMode="External"/><Relationship Id="rId34" Target="https://www.remitly.com/us/en/money-transfer/send-money-to-mexico" Type="http://schemas.openxmlformats.org/officeDocument/2006/relationships/hyperlink" TargetMode="External"/><Relationship Id="rId35" Target="https://www.worldremit.com/en/mexico" Type="http://schemas.openxmlformats.org/officeDocument/2006/relationships/hyperlink" TargetMode="External"/><Relationship Id="rId36" Target="https://www.xoom.com/mexico/send-money" Type="http://schemas.openxmlformats.org/officeDocument/2006/relationships/hyperlink" TargetMode="External"/></Relationships>
</file>

<file path=xl/worksheets/_rels/sheet3.xml.rels><?xml version="1.0" encoding="UTF-8" standalone="yes"?>
<Relationships xmlns="http://schemas.openxmlformats.org/package/2006/relationships"><Relationship Id="rId1" Target="https://support.taptapsend.com/hc/en-gb/articles/45247485548051-Fees-you-pay-sending-with-Taptap-Send" Type="http://schemas.openxmlformats.org/officeDocument/2006/relationships/hyperlink" TargetMode="External"/><Relationship Id="rId2" Target="https://wise.com/us/send-money/" Type="http://schemas.openxmlformats.org/officeDocument/2006/relationships/hyperlink" TargetMode="External"/><Relationship Id="rId3" Target="https://wise.com/us/blog/remitly-fees" Type="http://schemas.openxmlformats.org/officeDocument/2006/relationships/hyperlink" TargetMode="External"/><Relationship Id="rId4" Target="https://www.worldremit.com/en/full-calculator" Type="http://schemas.openxmlformats.org/officeDocument/2006/relationships/hyperlink" TargetMode="External"/><Relationship Id="rId5" Target="https://www.xoom.com/money-transfer-fees" Type="http://schemas.openxmlformats.org/officeDocument/2006/relationships/hyperlink" TargetMode="External"/><Relationship Id="rId6" Target="https://nexaremit.com" Type="http://schemas.openxmlformats.org/officeDocument/2006/relationships/hype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18FA578-A667-2E6C-8869-9C5F67D14A98}" mc:Ignorable="x14ac xr xr2 xr3">
  <dimension ref="A1:GR1000"/>
  <sheetViews>
    <sheetView topLeftCell="A1" workbookViewId="0" tabSelected="1">
      <pane ySplit="5" topLeftCell="A6" activePane="bottomLeft" state="frozen"/>
      <selection pane="bottomLeft" activeCell="A1" sqref="A1:J1"/>
    </sheetView>
  </sheetViews>
  <sheetFormatPr defaultRowHeight="15" defaultColWidth="8.8515625" customHeight="1"/>
  <cols>
    <col min="1" max="1" width="3.421875" customWidth="1"/>
    <col min="2" max="2" width="25.140625" customWidth="1"/>
    <col min="3" max="8" width="16.00390625" customWidth="1"/>
    <col min="9" max="9" width="25.140625" customWidth="1"/>
    <col min="10" max="10" width="36.57421875" customWidth="1"/>
  </cols>
  <sheetData>
    <row r="1" ht="24" customHeight="1">
      <c r="A1" s="1" t="s">
        <v>0</v>
      </c>
    </row>
    <row r="2" ht="16.5" customHeight="1">
      <c r="A2" s="2" t="s">
        <v>1</v>
      </c>
    </row>
    <row r="4" ht="21" customHeight="1">
      <c r="B4" s="3" t="s">
        <v>2</v>
      </c>
      <c r="C4" s="4">
        <v>1</v>
      </c>
      <c r="D4" s="3" t="s">
        <v>3</v>
      </c>
      <c r="E4" s="5" t="s">
        <v>4</v>
      </c>
      <c r="F4" s="3" t="s">
        <v>5</v>
      </c>
      <c r="G4" s="6">
        <f>E4+(C4-1)*7</f>
        <v>46209</v>
      </c>
    </row>
    <row r="6" ht="18" customHeight="1">
      <c r="A6" s="7" t="s">
        <v>6</v>
      </c>
    </row>
    <row r="7" ht="18" customHeight="1">
      <c r="B7" s="8" t="s">
        <v>7</v>
      </c>
      <c r="D7" s="8" t="s">
        <v>8</v>
      </c>
      <c r="F7" s="8" t="s">
        <v>9</v>
      </c>
      <c r="H7" s="8" t="s">
        <v>10</v>
      </c>
    </row>
    <row r="8" ht="33" customHeight="1">
      <c r="B8" s="9">
        <f>COUNTA(Recommendations!B4:B13)</f>
        <v>10</v>
      </c>
      <c r="D8" s="10">
        <f>COUNTIF(Recommendations!H4:H13,"Done")</f>
        <v>0</v>
      </c>
      <c r="F8" s="11">
        <f>COUNTIF(Recommendations!H4:H13,"In Progress")</f>
        <v>10</v>
      </c>
      <c r="H8" s="12">
        <f>COUNTIF(Recommendations!H4:H13,"Not Started")</f>
        <v>0</v>
      </c>
    </row>
    <row r="9" ht="13.5" customHeight="1">
      <c r="B9" s="13" t="s">
        <v>11</v>
      </c>
      <c r="D9" s="14">
        <f>_xlfn.IFERROR(COUNTIF(Recommendations!H4:H13,"Done")/COUNTA(Recommendations!B4:B13),0)</f>
        <v>0</v>
      </c>
      <c r="F9" s="14">
        <f>_xlfn.IFERROR(COUNTIF(Recommendations!H4:H13,"In Progress")/COUNTA(Recommendations!B4:B13),0)</f>
        <v>1</v>
      </c>
      <c r="H9" s="14">
        <f>_xlfn.IFERROR(COUNTIF(Recommendations!H4:H13,"Not Started")/COUNTA(Recommendations!B4:B13),0)</f>
        <v>0</v>
      </c>
    </row>
    <row r="10" ht="13.5" customHeight="1">
      <c r="A10" s="15" t="s">
        <v>12</v>
      </c>
    </row>
    <row r="12" ht="18" customHeight="1">
      <c r="A12" s="7" t="s">
        <v>13</v>
      </c>
    </row>
    <row r="13" ht="30" customHeight="1">
      <c r="A13" s="16"/>
      <c r="B13" s="16" t="s">
        <v>14</v>
      </c>
      <c r="C13" s="16" t="s">
        <v>15</v>
      </c>
      <c r="D13" s="16" t="s">
        <v>8</v>
      </c>
      <c r="E13" s="16" t="s">
        <v>9</v>
      </c>
      <c r="F13" s="16" t="s">
        <v>10</v>
      </c>
      <c r="G13" s="16" t="s">
        <v>16</v>
      </c>
      <c r="H13" s="16" t="s">
        <v>17</v>
      </c>
      <c r="I13" s="16" t="s">
        <v>18</v>
      </c>
      <c r="J13" s="16" t="s">
        <v>19</v>
      </c>
    </row>
    <row r="14" ht="19.5" customHeight="1">
      <c r="A14" s="17"/>
      <c r="B14" s="18" t="s">
        <v>20</v>
      </c>
      <c r="C14" s="19">
        <f>COUNTIF(Recommendations!C4:C13,"P1")</f>
        <v>5</v>
      </c>
      <c r="D14" s="19">
        <f>_xlfn.COUNTIFS(Recommendations!C4:C13,"P1",Recommendations!H4:H13,"Done")</f>
        <v>0</v>
      </c>
      <c r="E14" s="19">
        <f>_xlfn.COUNTIFS(Recommendations!C4:C13,"P1",Recommendations!H4:H13,"In Progress")</f>
        <v>5</v>
      </c>
      <c r="F14" s="19">
        <f>_xlfn.COUNTIFS(Recommendations!C4:C13,"P1",Recommendations!H4:H13,"Not Started")</f>
        <v>0</v>
      </c>
      <c r="G14" s="20">
        <f t="shared" si="0" ref="G14:G17">_xlfn.IFERROR(D14/C14,0)</f>
        <v>0</v>
      </c>
      <c r="H14" s="17" t="str">
        <f>IF(G14&gt;=1,"On Track",IF($C$4&lt;=2,"On Track",IF(G14&gt;=0.5,"At Risk","Blocked")))</f>
        <v>On Track</v>
      </c>
      <c r="I14" s="17" t="s">
        <v>22</v>
      </c>
      <c r="J14" s="17" t="s">
        <v>23</v>
      </c>
    </row>
    <row r="15" ht="19.5" customHeight="1">
      <c r="A15" s="21"/>
      <c r="B15" s="22" t="s">
        <v>24</v>
      </c>
      <c r="C15" s="23">
        <f>COUNTIF(Recommendations!C4:C13,"P2")</f>
        <v>3</v>
      </c>
      <c r="D15" s="23">
        <f>_xlfn.COUNTIFS(Recommendations!C4:C13,"P2",Recommendations!H4:H13,"Done")</f>
        <v>0</v>
      </c>
      <c r="E15" s="23">
        <f>_xlfn.COUNTIFS(Recommendations!C4:C13,"P2",Recommendations!H4:H13,"In Progress")</f>
        <v>3</v>
      </c>
      <c r="F15" s="23">
        <f>_xlfn.COUNTIFS(Recommendations!C4:C13,"P2",Recommendations!H4:H13,"Not Started")</f>
        <v>0</v>
      </c>
      <c r="G15" s="24">
        <f t="shared" si="0"/>
        <v>0</v>
      </c>
      <c r="H15" s="21" t="str">
        <f>IF(G15&gt;=1,"On Track",IF($C$4&lt;=4,"On Track",IF(G15&gt;=0.5,"At Risk","Blocked")))</f>
        <v>On Track</v>
      </c>
      <c r="I15" s="21" t="s">
        <v>25</v>
      </c>
      <c r="J15" s="21" t="s">
        <v>26</v>
      </c>
    </row>
    <row r="16" ht="19.5" customHeight="1">
      <c r="A16" s="17"/>
      <c r="B16" s="18" t="s">
        <v>27</v>
      </c>
      <c r="C16" s="19">
        <f>COUNTIF(Recommendations!C4:C13,"P3")</f>
        <v>2</v>
      </c>
      <c r="D16" s="19">
        <f>_xlfn.COUNTIFS(Recommendations!C4:C13,"P3",Recommendations!H4:H13,"Done")</f>
        <v>0</v>
      </c>
      <c r="E16" s="19">
        <f>_xlfn.COUNTIFS(Recommendations!C4:C13,"P3",Recommendations!H4:H13,"In Progress")</f>
        <v>2</v>
      </c>
      <c r="F16" s="19">
        <f>_xlfn.COUNTIFS(Recommendations!C4:C13,"P3",Recommendations!H4:H13,"Not Started")</f>
        <v>0</v>
      </c>
      <c r="G16" s="20">
        <f t="shared" si="0"/>
        <v>0</v>
      </c>
      <c r="H16" s="17" t="str">
        <f>IF(G16&gt;=1,"On Track",IF($C$4&lt;=6,"On Track",IF(G16&gt;=0.5,"At Risk","Blocked")))</f>
        <v>On Track</v>
      </c>
      <c r="I16" s="17" t="s">
        <v>25</v>
      </c>
      <c r="J16" s="17" t="s">
        <v>28</v>
      </c>
    </row>
    <row r="17" ht="21" customHeight="1">
      <c r="A17" s="25"/>
      <c r="B17" s="25" t="s">
        <v>29</v>
      </c>
      <c r="C17" s="26">
        <f t="shared" si="1" ref="C17:F17">SUM(C14:C16)</f>
        <v>10</v>
      </c>
      <c r="D17" s="26">
        <f t="shared" si="1"/>
        <v>0</v>
      </c>
      <c r="E17" s="26">
        <f t="shared" si="1"/>
        <v>10</v>
      </c>
      <c r="F17" s="26">
        <f t="shared" si="1"/>
        <v>0</v>
      </c>
      <c r="G17" s="27">
        <f t="shared" si="0"/>
        <v>0</v>
      </c>
      <c r="H17" s="26" t="str">
        <f>IF(G17&gt;=1,"Complete",IF(G17&gt;=0.75,"Nearly Done",IF(G17&gt;=0.5,"Halfway","Early")))</f>
        <v>Early</v>
      </c>
      <c r="I17" s="25" t="s">
        <v>31</v>
      </c>
      <c r="J17" s="25"/>
    </row>
    <row r="18" ht="15" customHeight="1">
      <c r="A18" s="15" t="s">
        <v>32</v>
      </c>
    </row>
    <row r="20" ht="18" customHeight="1">
      <c r="A20" s="7" t="s">
        <v>33</v>
      </c>
    </row>
    <row r="21" ht="30" customHeight="1">
      <c r="A21" s="28" t="s">
        <v>34</v>
      </c>
      <c r="B21" s="28" t="s">
        <v>35</v>
      </c>
      <c r="C21" s="28" t="s">
        <v>14</v>
      </c>
      <c r="D21" s="28" t="s">
        <v>36</v>
      </c>
      <c r="E21" s="28" t="s">
        <v>37</v>
      </c>
      <c r="F21" s="28" t="s">
        <v>38</v>
      </c>
      <c r="G21" s="28" t="s">
        <v>39</v>
      </c>
      <c r="H21" s="28" t="s">
        <v>40</v>
      </c>
      <c r="I21" s="28" t="s">
        <v>41</v>
      </c>
      <c r="J21" s="28" t="s">
        <v>42</v>
      </c>
    </row>
    <row r="22" ht="22.5" customHeight="1">
      <c r="A22" s="29">
        <v>1</v>
      </c>
      <c r="B22" s="17" t="str">
        <f>Recommendations!B4</f>
        <v>Launch Hero pricing on Nigeria, Ghana, Kenya at $0 fee</v>
      </c>
      <c r="C22" s="17" t="str">
        <f>Recommendations!C4</f>
        <v>P1</v>
      </c>
      <c r="D22" s="19" t="str">
        <f>Recommendations!G4</f>
        <v>Growth + Pricing</v>
      </c>
      <c r="E22" s="29">
        <v>2</v>
      </c>
      <c r="F22" s="3">
        <f t="shared" si="2" ref="F22:F31">$C$4</f>
        <v>1</v>
      </c>
      <c r="G22" s="29">
        <f t="shared" si="3" ref="G22:G31">E22-F22</f>
        <v>1</v>
      </c>
      <c r="H22" s="17" t="str">
        <f>Recommendations!H4</f>
        <v>In Progress</v>
      </c>
      <c r="I22" s="29" t="str">
        <f t="shared" si="4" ref="I22:I31">IF(H22="Done","✓ Complete",IF(G22&lt;0,"⚠ Overdue",IF(G22&lt;=1,"⏰ Due Soon","● On Schedule")))</f>
        <v>⏰ Due Soon</v>
      </c>
      <c r="J22" s="30" t="s">
        <v>47</v>
      </c>
    </row>
    <row r="23" ht="22.5" customHeight="1">
      <c r="A23" s="31">
        <v>2</v>
      </c>
      <c r="B23" s="21" t="str">
        <f>Recommendations!B5</f>
        <v>Beat Remitly on Mexico with fee ≤ $0.99</v>
      </c>
      <c r="C23" s="21" t="str">
        <f>Recommendations!C5</f>
        <v>P1</v>
      </c>
      <c r="D23" s="23" t="str">
        <f>Recommendations!G5</f>
        <v>Pricing</v>
      </c>
      <c r="E23" s="31">
        <v>2</v>
      </c>
      <c r="F23" s="3">
        <f t="shared" si="2"/>
        <v>1</v>
      </c>
      <c r="G23" s="31">
        <f t="shared" si="3"/>
        <v>1</v>
      </c>
      <c r="H23" s="21" t="str">
        <f>Recommendations!H5</f>
        <v>In Progress</v>
      </c>
      <c r="I23" s="31" t="str">
        <f t="shared" si="4"/>
        <v>⏰ Due Soon</v>
      </c>
      <c r="J23" s="32" t="s">
        <v>47</v>
      </c>
    </row>
    <row r="24" ht="22.5" customHeight="1">
      <c r="A24" s="29">
        <v>3</v>
      </c>
      <c r="B24" s="17" t="str">
        <f>Recommendations!B6</f>
        <v>Undercut Xoom on Philippines all-in cost</v>
      </c>
      <c r="C24" s="17" t="str">
        <f>Recommendations!C6</f>
        <v>P1</v>
      </c>
      <c r="D24" s="19" t="str">
        <f>Recommendations!G6</f>
        <v>Product + Pricing</v>
      </c>
      <c r="E24" s="29">
        <v>3</v>
      </c>
      <c r="F24" s="3">
        <f t="shared" si="2"/>
        <v>1</v>
      </c>
      <c r="G24" s="29">
        <f t="shared" si="3"/>
        <v>2</v>
      </c>
      <c r="H24" s="17" t="str">
        <f>Recommendations!H6</f>
        <v>In Progress</v>
      </c>
      <c r="I24" s="29" t="str">
        <f t="shared" si="4"/>
        <v>● On Schedule</v>
      </c>
      <c r="J24" s="30" t="s">
        <v>47</v>
      </c>
    </row>
    <row r="25" ht="22.5" customHeight="1">
      <c r="A25" s="31">
        <v>4</v>
      </c>
      <c r="B25" s="21" t="str">
        <f>Recommendations!B7</f>
        <v>Attack India (INR) on FX spread, not fee</v>
      </c>
      <c r="C25" s="21" t="str">
        <f>Recommendations!C7</f>
        <v>P1</v>
      </c>
      <c r="D25" s="23" t="str">
        <f>Recommendations!G7</f>
        <v>Pricing + Engineering</v>
      </c>
      <c r="E25" s="31">
        <v>3</v>
      </c>
      <c r="F25" s="3">
        <f t="shared" si="2"/>
        <v>1</v>
      </c>
      <c r="G25" s="31">
        <f t="shared" si="3"/>
        <v>2</v>
      </c>
      <c r="H25" s="21" t="str">
        <f>Recommendations!H7</f>
        <v>In Progress</v>
      </c>
      <c r="I25" s="31" t="str">
        <f t="shared" si="4"/>
        <v>● On Schedule</v>
      </c>
      <c r="J25" s="32" t="s">
        <v>47</v>
      </c>
    </row>
    <row r="26" ht="22.5" customHeight="1">
      <c r="A26" s="29">
        <v>5</v>
      </c>
      <c r="B26" s="17" t="str">
        <f>Recommendations!B8</f>
        <v>Capture live $100 competitor quotes weekly</v>
      </c>
      <c r="C26" s="17" t="str">
        <f>Recommendations!C8</f>
        <v>P1</v>
      </c>
      <c r="D26" s="19" t="str">
        <f>Recommendations!G8</f>
        <v>Ops</v>
      </c>
      <c r="E26" s="29">
        <v>1</v>
      </c>
      <c r="F26" s="3">
        <f t="shared" si="2"/>
        <v>1</v>
      </c>
      <c r="G26" s="29">
        <f t="shared" si="3"/>
        <v>0</v>
      </c>
      <c r="H26" s="17" t="str">
        <f>Recommendations!H8</f>
        <v>In Progress</v>
      </c>
      <c r="I26" s="29" t="str">
        <f t="shared" si="4"/>
        <v>⏰ Due Soon</v>
      </c>
      <c r="J26" s="30" t="s">
        <v>47</v>
      </c>
    </row>
    <row r="27" ht="22.5" customHeight="1">
      <c r="A27" s="31">
        <v>6</v>
      </c>
      <c r="B27" s="21" t="str">
        <f>Recommendations!B9</f>
        <v>Publish a public 'Total Cost' calculator</v>
      </c>
      <c r="C27" s="21" t="str">
        <f>Recommendations!C9</f>
        <v>P2</v>
      </c>
      <c r="D27" s="23" t="str">
        <f>Recommendations!G9</f>
        <v>Product</v>
      </c>
      <c r="E27" s="31">
        <v>4</v>
      </c>
      <c r="F27" s="3">
        <f t="shared" si="2"/>
        <v>1</v>
      </c>
      <c r="G27" s="31">
        <f t="shared" si="3"/>
        <v>3</v>
      </c>
      <c r="H27" s="21" t="str">
        <f>Recommendations!H9</f>
        <v>In Progress</v>
      </c>
      <c r="I27" s="31" t="str">
        <f t="shared" si="4"/>
        <v>● On Schedule</v>
      </c>
      <c r="J27" s="32" t="s">
        <v>60</v>
      </c>
    </row>
    <row r="28" ht="22.5" customHeight="1">
      <c r="A28" s="29">
        <v>7</v>
      </c>
      <c r="B28" s="17" t="str">
        <f>Recommendations!B10</f>
        <v>Enforce Guardrails from Strategy sheet in code</v>
      </c>
      <c r="C28" s="17" t="str">
        <f>Recommendations!C10</f>
        <v>P2</v>
      </c>
      <c r="D28" s="19" t="str">
        <f>Recommendations!G10</f>
        <v>Engineering</v>
      </c>
      <c r="E28" s="29">
        <v>6</v>
      </c>
      <c r="F28" s="3">
        <f t="shared" si="2"/>
        <v>1</v>
      </c>
      <c r="G28" s="29">
        <f t="shared" si="3"/>
        <v>5</v>
      </c>
      <c r="H28" s="17" t="str">
        <f>Recommendations!H10</f>
        <v>In Progress</v>
      </c>
      <c r="I28" s="29" t="str">
        <f t="shared" si="4"/>
        <v>● On Schedule</v>
      </c>
      <c r="J28" s="30" t="s">
        <v>60</v>
      </c>
    </row>
    <row r="29" ht="22.5" customHeight="1">
      <c r="A29" s="31">
        <v>8</v>
      </c>
      <c r="B29" s="21" t="str">
        <f>Recommendations!B11</f>
        <v>Fill the 'Other' corridor with the next launch market</v>
      </c>
      <c r="C29" s="21" t="str">
        <f>Recommendations!C11</f>
        <v>P2</v>
      </c>
      <c r="D29" s="23" t="str">
        <f>Recommendations!G11</f>
        <v>Strategy</v>
      </c>
      <c r="E29" s="31">
        <v>4</v>
      </c>
      <c r="F29" s="3">
        <f t="shared" si="2"/>
        <v>1</v>
      </c>
      <c r="G29" s="31">
        <f t="shared" si="3"/>
        <v>3</v>
      </c>
      <c r="H29" s="21" t="str">
        <f>Recommendations!H11</f>
        <v>In Progress</v>
      </c>
      <c r="I29" s="31" t="str">
        <f t="shared" si="4"/>
        <v>● On Schedule</v>
      </c>
      <c r="J29" s="32" t="s">
        <v>60</v>
      </c>
    </row>
    <row r="30" ht="22.5" customHeight="1">
      <c r="A30" s="29">
        <v>9</v>
      </c>
      <c r="B30" s="17" t="str">
        <f>Recommendations!B12</f>
        <v>Add Western Union + MoneyGram as reference competitors</v>
      </c>
      <c r="C30" s="17" t="str">
        <f>Recommendations!C12</f>
        <v>P3</v>
      </c>
      <c r="D30" s="19" t="str">
        <f>Recommendations!G12</f>
        <v>Ops</v>
      </c>
      <c r="E30" s="29">
        <v>4</v>
      </c>
      <c r="F30" s="3">
        <f t="shared" si="2"/>
        <v>1</v>
      </c>
      <c r="G30" s="29">
        <f t="shared" si="3"/>
        <v>3</v>
      </c>
      <c r="H30" s="17" t="str">
        <f>Recommendations!H12</f>
        <v>In Progress</v>
      </c>
      <c r="I30" s="29" t="str">
        <f t="shared" si="4"/>
        <v>● On Schedule</v>
      </c>
      <c r="J30" s="30" t="s">
        <v>67</v>
      </c>
    </row>
    <row r="31" ht="22.5" customHeight="1">
      <c r="A31" s="31">
        <v>10</v>
      </c>
      <c r="B31" s="21" t="str">
        <f>Recommendations!B13</f>
        <v>Track promotional first-transfer rates separately</v>
      </c>
      <c r="C31" s="21" t="str">
        <f>Recommendations!C13</f>
        <v>P3</v>
      </c>
      <c r="D31" s="23" t="str">
        <f>Recommendations!G13</f>
        <v>Analytics</v>
      </c>
      <c r="E31" s="31">
        <v>6</v>
      </c>
      <c r="F31" s="3">
        <f t="shared" si="2"/>
        <v>1</v>
      </c>
      <c r="G31" s="31">
        <f t="shared" si="3"/>
        <v>5</v>
      </c>
      <c r="H31" s="21" t="str">
        <f>Recommendations!H13</f>
        <v>In Progress</v>
      </c>
      <c r="I31" s="31" t="str">
        <f t="shared" si="4"/>
        <v>● On Schedule</v>
      </c>
      <c r="J31" s="32" t="s">
        <v>67</v>
      </c>
    </row>
    <row r="32" ht="15" customHeight="1">
      <c r="A32" s="15" t="s">
        <v>70</v>
      </c>
    </row>
    <row r="34" ht="18" customHeight="1">
      <c r="A34" s="7" t="s">
        <v>71</v>
      </c>
    </row>
    <row r="35" ht="30" customHeight="1">
      <c r="A35" s="28" t="s">
        <v>72</v>
      </c>
      <c r="B35" s="28" t="s">
        <v>35</v>
      </c>
      <c r="C35" s="28" t="s">
        <v>14</v>
      </c>
      <c r="D35" s="28" t="s">
        <v>36</v>
      </c>
      <c r="E35" s="28" t="s">
        <v>73</v>
      </c>
      <c r="F35" s="28" t="s">
        <v>74</v>
      </c>
      <c r="G35" s="28"/>
      <c r="H35" s="28"/>
      <c r="I35" s="28"/>
      <c r="J35" s="28"/>
    </row>
    <row r="36" ht="42" customHeight="1">
      <c r="A36" s="33">
        <v>1</v>
      </c>
      <c r="B36" s="34" t="s">
        <v>55</v>
      </c>
      <c r="C36" t="s">
        <v>44</v>
      </c>
      <c r="D36" s="35" t="s">
        <v>56</v>
      </c>
      <c r="E36" s="36">
        <f>MAX(0,$C$4-1)</f>
        <v>0</v>
      </c>
      <c r="F36" s="37" t="s">
        <v>75</v>
      </c>
    </row>
    <row r="37" ht="42" customHeight="1">
      <c r="A37" s="38">
        <v>2</v>
      </c>
      <c r="B37" s="34" t="s">
        <v>43</v>
      </c>
      <c r="C37" t="s">
        <v>44</v>
      </c>
      <c r="D37" s="35" t="s">
        <v>45</v>
      </c>
      <c r="E37" s="36">
        <f t="shared" si="5" ref="E37:E38">MAX(0,$C$4-2)</f>
        <v>0</v>
      </c>
      <c r="F37" s="37" t="s">
        <v>76</v>
      </c>
    </row>
    <row r="38" ht="42" customHeight="1">
      <c r="A38" s="39">
        <v>3</v>
      </c>
      <c r="B38" s="34" t="s">
        <v>48</v>
      </c>
      <c r="C38" t="s">
        <v>44</v>
      </c>
      <c r="D38" s="35" t="s">
        <v>49</v>
      </c>
      <c r="E38" s="36">
        <f t="shared" si="5"/>
        <v>0</v>
      </c>
      <c r="F38" s="37" t="s">
        <v>77</v>
      </c>
    </row>
    <row r="39" ht="18" customHeight="1">
      <c r="A39" s="15" t="s">
        <v>78</v>
      </c>
    </row>
    <row r="41" ht="18" customHeight="1">
      <c r="A41" s="7" t="s">
        <v>79</v>
      </c>
    </row>
    <row r="42" ht="30" customHeight="1">
      <c r="A42" s="28"/>
      <c r="B42" s="28" t="s">
        <v>80</v>
      </c>
      <c r="C42" s="28" t="s">
        <v>81</v>
      </c>
      <c r="D42" s="28" t="s">
        <v>82</v>
      </c>
      <c r="E42" s="28"/>
      <c r="F42" s="28"/>
      <c r="G42" s="28" t="s">
        <v>40</v>
      </c>
      <c r="H42" s="28" t="s">
        <v>83</v>
      </c>
      <c r="I42" s="28"/>
      <c r="J42" s="28"/>
    </row>
    <row r="43" ht="27" customHeight="1">
      <c r="A43" s="40" t="s">
        <v>84</v>
      </c>
      <c r="B43" s="18" t="s">
        <v>85</v>
      </c>
      <c r="C43" s="41" t="s">
        <v>86</v>
      </c>
      <c r="D43" s="17" t="s">
        <v>87</v>
      </c>
      <c r="G43" s="42" t="s">
        <v>88</v>
      </c>
      <c r="H43" s="43" t="s">
        <v>89</v>
      </c>
    </row>
    <row r="44" ht="27" customHeight="1">
      <c r="A44" s="44" t="s">
        <v>84</v>
      </c>
      <c r="B44" s="22" t="s">
        <v>47</v>
      </c>
      <c r="C44" s="45" t="s">
        <v>90</v>
      </c>
      <c r="D44" s="21" t="s">
        <v>91</v>
      </c>
      <c r="G44" s="42" t="s">
        <v>88</v>
      </c>
      <c r="H44" s="46" t="s">
        <v>92</v>
      </c>
    </row>
    <row r="45" ht="27" customHeight="1">
      <c r="A45" s="40" t="s">
        <v>84</v>
      </c>
      <c r="B45" s="18" t="s">
        <v>60</v>
      </c>
      <c r="C45" s="41" t="s">
        <v>93</v>
      </c>
      <c r="D45" s="17" t="s">
        <v>94</v>
      </c>
      <c r="G45" s="42" t="s">
        <v>88</v>
      </c>
      <c r="H45" s="43" t="s">
        <v>95</v>
      </c>
    </row>
    <row r="46" ht="27" customHeight="1">
      <c r="A46" s="44" t="s">
        <v>84</v>
      </c>
      <c r="B46" s="22" t="s">
        <v>67</v>
      </c>
      <c r="C46" s="45" t="s">
        <v>96</v>
      </c>
      <c r="D46" s="21" t="s">
        <v>97</v>
      </c>
      <c r="G46" s="42" t="s">
        <v>88</v>
      </c>
      <c r="H46" s="46" t="s">
        <v>98</v>
      </c>
    </row>
    <row r="47" ht="16.5" customHeight="1">
      <c r="A47" s="15" t="s">
        <v>99</v>
      </c>
    </row>
  </sheetData>
  <mergeCells>
    <mergeCell ref="A1:J1"/>
    <mergeCell ref="A2:J2"/>
    <mergeCell ref="A6:J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J10"/>
    <mergeCell ref="A12:J12"/>
    <mergeCell ref="A18:J18"/>
    <mergeCell ref="A20:J20"/>
    <mergeCell ref="A32:J32"/>
    <mergeCell ref="A34:J34"/>
    <mergeCell ref="F35:J35"/>
    <mergeCell ref="F36:J36"/>
    <mergeCell ref="F37:J37"/>
    <mergeCell ref="F38:J38"/>
    <mergeCell ref="A39:J39"/>
    <mergeCell ref="A41:J41"/>
    <mergeCell ref="D42:F42"/>
    <mergeCell ref="H42:J42"/>
    <mergeCell ref="D43:F43"/>
    <mergeCell ref="H43:J43"/>
    <mergeCell ref="D44:F44"/>
    <mergeCell ref="H44:J44"/>
    <mergeCell ref="D45:F45"/>
    <mergeCell ref="H45:J45"/>
    <mergeCell ref="D46:F46"/>
    <mergeCell ref="H46:J46"/>
    <mergeCell ref="A47:J47"/>
  </mergeCells>
  <conditionalFormatting sqref="H14:H17">
    <cfRule type="containsText" dxfId="0" priority="25" operator="containsText" text="On Track">
      <formula>NOT(ISERROR(SEARCH("On Track",H14)))</formula>
    </cfRule>
  </conditionalFormatting>
  <conditionalFormatting sqref="H14:H17">
    <cfRule type="containsText" dxfId="0" priority="24" operator="containsText" text="Complete">
      <formula>NOT(ISERROR(SEARCH("Complete",H14)))</formula>
    </cfRule>
  </conditionalFormatting>
  <conditionalFormatting sqref="H14:H17">
    <cfRule type="containsText" dxfId="0" priority="23" operator="containsText" text="Nearly Done">
      <formula>NOT(ISERROR(SEARCH("Nearly Done",H14)))</formula>
    </cfRule>
  </conditionalFormatting>
  <conditionalFormatting sqref="H14:H17">
    <cfRule type="containsText" dxfId="1" priority="22" operator="containsText" text="At Risk">
      <formula>NOT(ISERROR(SEARCH("At Risk",H14)))</formula>
    </cfRule>
  </conditionalFormatting>
  <conditionalFormatting sqref="H14:H17">
    <cfRule type="containsText" dxfId="1" priority="21" operator="containsText" text="Halfway">
      <formula>NOT(ISERROR(SEARCH("Halfway",H14)))</formula>
    </cfRule>
  </conditionalFormatting>
  <conditionalFormatting sqref="H14:H17">
    <cfRule type="containsText" dxfId="2" priority="20" operator="containsText" text="Blocked">
      <formula>NOT(ISERROR(SEARCH("Blocked",H14)))</formula>
    </cfRule>
  </conditionalFormatting>
  <conditionalFormatting sqref="H14:H17">
    <cfRule type="containsText" dxfId="2" priority="19" operator="containsText" text="Early">
      <formula>NOT(ISERROR(SEARCH("Early",H14)))</formula>
    </cfRule>
  </conditionalFormatting>
  <conditionalFormatting sqref="C22:C31">
    <cfRule type="containsText" dxfId="3" priority="18" operator="containsText" text="P1">
      <formula>NOT(ISERROR(SEARCH("P1",C22)))</formula>
    </cfRule>
  </conditionalFormatting>
  <conditionalFormatting sqref="C22:C31">
    <cfRule type="containsText" dxfId="4" priority="17" operator="containsText" text="P2">
      <formula>NOT(ISERROR(SEARCH("P2",C22)))</formula>
    </cfRule>
  </conditionalFormatting>
  <conditionalFormatting sqref="C22:C31">
    <cfRule type="containsText" dxfId="5" priority="16" operator="containsText" text="P3">
      <formula>NOT(ISERROR(SEARCH("P3",C22)))</formula>
    </cfRule>
  </conditionalFormatting>
  <conditionalFormatting sqref="G22:G31">
    <cfRule type="cellIs" dxfId="2" priority="15" operator="lessThan" text="null">
      <formula>0</formula>
    </cfRule>
  </conditionalFormatting>
  <conditionalFormatting sqref="G22:G31">
    <cfRule type="cellIs" dxfId="1" priority="14" operator="between" text="null">
      <formula>0</formula>
      <formula>1</formula>
    </cfRule>
  </conditionalFormatting>
  <conditionalFormatting sqref="G22:G31">
    <cfRule type="cellIs" dxfId="0" priority="13" operator="greaterThan" text="null">
      <formula>1</formula>
    </cfRule>
  </conditionalFormatting>
  <conditionalFormatting sqref="H22:H31">
    <cfRule type="containsText" dxfId="0" priority="12" operator="containsText" text="Done">
      <formula>NOT(ISERROR(SEARCH("Done",H22)))</formula>
    </cfRule>
  </conditionalFormatting>
  <conditionalFormatting sqref="H22:H31">
    <cfRule type="containsText" dxfId="1" priority="11" operator="containsText" text="In Progress">
      <formula>NOT(ISERROR(SEARCH("In Progress",H22)))</formula>
    </cfRule>
  </conditionalFormatting>
  <conditionalFormatting sqref="H22:H31">
    <cfRule type="containsText" dxfId="6" priority="10" operator="containsText" text="Not Started">
      <formula>NOT(ISERROR(SEARCH("Not Started",H22)))</formula>
    </cfRule>
  </conditionalFormatting>
  <conditionalFormatting sqref="I22:I31">
    <cfRule type="containsText" dxfId="7" priority="9" operator="containsText" text="Complete">
      <formula>NOT(ISERROR(SEARCH("Complete",I22)))</formula>
    </cfRule>
  </conditionalFormatting>
  <conditionalFormatting sqref="I22:I31">
    <cfRule type="containsText" dxfId="8" priority="8" operator="containsText" text="Overdue">
      <formula>NOT(ISERROR(SEARCH("Overdue",I22)))</formula>
    </cfRule>
  </conditionalFormatting>
  <conditionalFormatting sqref="I22:I31">
    <cfRule type="containsText" dxfId="9" priority="7" operator="containsText" text="Due Soon">
      <formula>NOT(ISERROR(SEARCH("Due Soon",I22)))</formula>
    </cfRule>
  </conditionalFormatting>
  <conditionalFormatting sqref="I22:I31">
    <cfRule type="containsText" dxfId="10" priority="6" operator="containsText" text="On Schedule">
      <formula>NOT(ISERROR(SEARCH("On Schedule",I22)))</formula>
    </cfRule>
  </conditionalFormatting>
  <conditionalFormatting sqref="C36:C38">
    <cfRule type="containsText" dxfId="3" priority="5" operator="containsText" text="P1">
      <formula>NOT(ISERROR(SEARCH("P1",C36)))</formula>
    </cfRule>
  </conditionalFormatting>
  <conditionalFormatting sqref="C36:C38">
    <cfRule type="containsText" dxfId="4" priority="4" operator="containsText" text="P2">
      <formula>NOT(ISERROR(SEARCH("P2",C36)))</formula>
    </cfRule>
  </conditionalFormatting>
  <conditionalFormatting sqref="C36:C38">
    <cfRule type="containsText" dxfId="5" priority="3" operator="containsText" text="P3">
      <formula>NOT(ISERROR(SEARCH("P3",C36)))</formula>
    </cfRule>
  </conditionalFormatting>
  <conditionalFormatting sqref="E36:E38">
    <cfRule type="cellIs" dxfId="11" priority="2" operator="greaterThan" text="null">
      <formula>0</formula>
    </cfRule>
  </conditionalFormatting>
  <conditionalFormatting sqref="E36:E38">
    <cfRule type="cellIs" dxfId="12" priority="1" operator="equal" text="null">
      <formula>0</formula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A9B6A9E-7322-A828-F119-5E855D5CC1D8}" mc:Ignorable="x14ac xr xr2 xr3">
  <dimension ref="A1:GR1000"/>
  <sheetViews>
    <sheetView topLeftCell="A1" workbookViewId="0">
      <pane ySplit="3" topLeftCell="A4" activePane="bottomLeft" state="frozen"/>
      <selection pane="bottomLeft" activeCell="A4" sqref="A4:N4"/>
    </sheetView>
  </sheetViews>
  <sheetFormatPr defaultRowHeight="15" defaultColWidth="8.8515625" customHeight="1"/>
  <cols>
    <col min="1" max="1" width="22.00390625" customWidth="1"/>
    <col min="2" max="2" width="16.00390625" customWidth="1"/>
    <col min="3" max="4" width="14.00390625" customWidth="1"/>
    <col min="5" max="5" width="20.00390625" customWidth="1"/>
    <col min="6" max="6" width="18.00390625" customWidth="1"/>
    <col min="7" max="7" width="16.00390625" customWidth="1"/>
    <col min="8" max="8" width="20.00390625" customWidth="1"/>
    <col min="9" max="9" width="22.00390625" customWidth="1"/>
    <col min="10" max="10" width="32.00390625" customWidth="1"/>
    <col min="11" max="11" width="13.00390625" customWidth="1"/>
    <col min="12" max="12" width="42.00390625" customWidth="1"/>
    <col min="13" max="13" width="16.00390625" customWidth="1"/>
    <col min="14" max="14" width="44.00390625" customWidth="1"/>
  </cols>
  <sheetData>
    <row r="1" ht="21" customHeight="1">
      <c r="A1" s="47" t="s">
        <v>100</v>
      </c>
    </row>
    <row r="2" ht="15" customHeight="1">
      <c r="A2" s="2" t="s">
        <v>101</v>
      </c>
    </row>
    <row r="3" ht="30" customHeight="1">
      <c r="A3" s="28" t="s">
        <v>102</v>
      </c>
      <c r="B3" s="28" t="s">
        <v>103</v>
      </c>
      <c r="C3" s="28" t="s">
        <v>104</v>
      </c>
      <c r="D3" s="28" t="s">
        <v>105</v>
      </c>
      <c r="E3" s="28" t="s">
        <v>106</v>
      </c>
      <c r="F3" s="28" t="s">
        <v>107</v>
      </c>
      <c r="G3" s="28" t="s">
        <v>108</v>
      </c>
      <c r="H3" s="28" t="s">
        <v>109</v>
      </c>
      <c r="I3" s="28" t="s">
        <v>110</v>
      </c>
      <c r="J3" s="28" t="s">
        <v>111</v>
      </c>
      <c r="K3" s="28" t="s">
        <v>112</v>
      </c>
      <c r="L3" s="28" t="s">
        <v>113</v>
      </c>
      <c r="M3" s="28" t="s">
        <v>114</v>
      </c>
      <c r="N3" s="28" t="s">
        <v>115</v>
      </c>
    </row>
    <row r="4" ht="16.5" customHeight="1">
      <c r="A4" s="48" t="s">
        <v>116</v>
      </c>
      <c r="B4" s="49"/>
      <c r="C4" s="50"/>
      <c r="D4" s="50"/>
      <c r="E4" s="51"/>
      <c r="F4" s="52"/>
      <c r="G4" s="50"/>
      <c r="H4" s="53"/>
      <c r="I4" s="49"/>
      <c r="J4" s="49"/>
      <c r="K4" s="49"/>
      <c r="L4" s="49"/>
      <c r="M4" s="49"/>
      <c r="N4" s="49"/>
    </row>
    <row r="5" ht="15" customHeight="1">
      <c r="A5" s="54" t="s">
        <v>117</v>
      </c>
      <c r="B5" s="54" t="s">
        <v>118</v>
      </c>
      <c r="C5" s="55">
        <v>100</v>
      </c>
      <c r="D5" s="55" t="s">
        <v>119</v>
      </c>
      <c r="E5" s="56" t="s">
        <v>119</v>
      </c>
      <c r="F5" s="57" t="s">
        <v>119</v>
      </c>
      <c r="G5" s="55" t="s">
        <v>119</v>
      </c>
      <c r="H5" s="58" t="s">
        <v>119</v>
      </c>
      <c r="I5" s="54" t="s">
        <v>119</v>
      </c>
      <c r="J5" s="54" t="s">
        <v>119</v>
      </c>
      <c r="K5" s="54" t="s">
        <v>4</v>
      </c>
      <c r="L5" s="54" t="s">
        <v>120</v>
      </c>
      <c r="M5" s="59" t="s">
        <v>121</v>
      </c>
      <c r="N5" s="54" t="s">
        <v>122</v>
      </c>
    </row>
    <row r="6" ht="15" customHeight="1">
      <c r="A6" s="54" t="s">
        <v>117</v>
      </c>
      <c r="B6" s="54" t="s">
        <v>123</v>
      </c>
      <c r="C6" s="55">
        <v>100</v>
      </c>
      <c r="D6" s="55"/>
      <c r="E6" s="56" t="s">
        <v>119</v>
      </c>
      <c r="F6" s="57" t="s">
        <v>119</v>
      </c>
      <c r="G6" s="55">
        <f t="shared" si="0" ref="G6:G45">C6+D6</f>
        <v>100</v>
      </c>
      <c r="H6" s="58">
        <f t="shared" si="1" ref="H6:H45">D6/C6</f>
        <v>0</v>
      </c>
      <c r="I6" s="54" t="s">
        <v>124</v>
      </c>
      <c r="J6" s="54" t="s">
        <v>125</v>
      </c>
      <c r="K6" s="54" t="s">
        <v>4</v>
      </c>
      <c r="L6" s="59" t="s">
        <v>126</v>
      </c>
      <c r="M6" s="54" t="s">
        <v>127</v>
      </c>
      <c r="N6" s="54" t="s">
        <v>128</v>
      </c>
    </row>
    <row r="7" ht="15" customHeight="1">
      <c r="A7" s="54" t="s">
        <v>117</v>
      </c>
      <c r="B7" s="54" t="s">
        <v>129</v>
      </c>
      <c r="C7" s="55">
        <v>100</v>
      </c>
      <c r="D7" s="55" t="s">
        <v>119</v>
      </c>
      <c r="E7" s="56" t="s">
        <v>119</v>
      </c>
      <c r="F7" s="57" t="s">
        <v>119</v>
      </c>
      <c r="G7" s="55" t="s">
        <v>119</v>
      </c>
      <c r="H7" s="58" t="s">
        <v>119</v>
      </c>
      <c r="I7" s="54" t="s">
        <v>130</v>
      </c>
      <c r="J7" s="54" t="s">
        <v>131</v>
      </c>
      <c r="K7" s="54" t="s">
        <v>4</v>
      </c>
      <c r="L7" s="59" t="s">
        <v>132</v>
      </c>
      <c r="M7" s="54" t="s">
        <v>133</v>
      </c>
      <c r="N7" s="54" t="s">
        <v>134</v>
      </c>
    </row>
    <row r="8" ht="15" customHeight="1">
      <c r="A8" s="54" t="s">
        <v>117</v>
      </c>
      <c r="B8" s="54" t="s">
        <v>135</v>
      </c>
      <c r="C8" s="55">
        <v>100</v>
      </c>
      <c r="D8" s="55" t="s">
        <v>119</v>
      </c>
      <c r="E8" s="56" t="s">
        <v>119</v>
      </c>
      <c r="F8" s="57" t="s">
        <v>119</v>
      </c>
      <c r="G8" s="55" t="s">
        <v>119</v>
      </c>
      <c r="H8" s="58" t="s">
        <v>119</v>
      </c>
      <c r="I8" s="54" t="s">
        <v>136</v>
      </c>
      <c r="J8" s="54" t="s">
        <v>137</v>
      </c>
      <c r="K8" s="54" t="s">
        <v>4</v>
      </c>
      <c r="L8" s="59" t="s">
        <v>138</v>
      </c>
      <c r="M8" s="54" t="s">
        <v>139</v>
      </c>
      <c r="N8" s="54" t="s">
        <v>140</v>
      </c>
    </row>
    <row r="9" ht="15" customHeight="1">
      <c r="A9" s="54" t="s">
        <v>117</v>
      </c>
      <c r="B9" s="54" t="s">
        <v>141</v>
      </c>
      <c r="C9" s="55">
        <v>100</v>
      </c>
      <c r="D9" s="55" t="s">
        <v>119</v>
      </c>
      <c r="E9" s="56" t="s">
        <v>119</v>
      </c>
      <c r="F9" s="57" t="s">
        <v>119</v>
      </c>
      <c r="G9" s="55" t="s">
        <v>119</v>
      </c>
      <c r="H9" s="58" t="s">
        <v>119</v>
      </c>
      <c r="I9" s="54" t="s">
        <v>142</v>
      </c>
      <c r="J9" s="54" t="s">
        <v>143</v>
      </c>
      <c r="K9" s="54" t="s">
        <v>4</v>
      </c>
      <c r="L9" s="59" t="s">
        <v>144</v>
      </c>
      <c r="M9" s="54" t="s">
        <v>145</v>
      </c>
      <c r="N9" s="54" t="s">
        <v>146</v>
      </c>
    </row>
    <row r="10" ht="15" customHeight="1">
      <c r="A10" s="54" t="s">
        <v>117</v>
      </c>
      <c r="B10" s="54" t="s">
        <v>147</v>
      </c>
      <c r="C10" s="55">
        <v>100</v>
      </c>
      <c r="D10" s="55" t="s">
        <v>119</v>
      </c>
      <c r="E10" s="56" t="s">
        <v>119</v>
      </c>
      <c r="F10" s="57" t="s">
        <v>119</v>
      </c>
      <c r="G10" s="55" t="s">
        <v>119</v>
      </c>
      <c r="H10" s="58" t="s">
        <v>119</v>
      </c>
      <c r="I10" s="54" t="s">
        <v>148</v>
      </c>
      <c r="J10" s="54" t="s">
        <v>149</v>
      </c>
      <c r="K10" s="54" t="s">
        <v>4</v>
      </c>
      <c r="L10" s="59" t="s">
        <v>150</v>
      </c>
      <c r="M10" s="54" t="s">
        <v>151</v>
      </c>
      <c r="N10" s="54" t="s">
        <v>152</v>
      </c>
    </row>
    <row r="11" ht="16.5" customHeight="1">
      <c r="A11" s="48" t="s">
        <v>153</v>
      </c>
      <c r="B11" s="49"/>
      <c r="C11" s="50"/>
      <c r="D11" s="50"/>
      <c r="E11" s="51"/>
      <c r="F11" s="52"/>
      <c r="G11" s="50"/>
      <c r="H11" s="53"/>
      <c r="I11" s="49"/>
      <c r="J11" s="49"/>
      <c r="K11" s="49"/>
      <c r="L11" s="49"/>
      <c r="M11" s="49"/>
      <c r="N11" s="49"/>
    </row>
    <row r="12" ht="15" customHeight="1">
      <c r="A12" s="54" t="s">
        <v>154</v>
      </c>
      <c r="B12" s="54" t="s">
        <v>118</v>
      </c>
      <c r="C12" s="55">
        <v>100</v>
      </c>
      <c r="D12" s="55" t="s">
        <v>119</v>
      </c>
      <c r="E12" s="56" t="s">
        <v>119</v>
      </c>
      <c r="F12" s="57" t="s">
        <v>119</v>
      </c>
      <c r="G12" s="55" t="s">
        <v>119</v>
      </c>
      <c r="H12" s="58" t="s">
        <v>119</v>
      </c>
      <c r="I12" s="54" t="s">
        <v>119</v>
      </c>
      <c r="J12" s="54" t="s">
        <v>155</v>
      </c>
      <c r="K12" s="54" t="s">
        <v>4</v>
      </c>
      <c r="L12" s="59" t="s">
        <v>156</v>
      </c>
      <c r="M12" s="54" t="s">
        <v>122</v>
      </c>
      <c r="N12" s="54" t="s">
        <v>157</v>
      </c>
    </row>
    <row r="13" ht="15" customHeight="1">
      <c r="A13" s="54" t="s">
        <v>154</v>
      </c>
      <c r="B13" s="54" t="s">
        <v>123</v>
      </c>
      <c r="C13" s="55">
        <v>100</v>
      </c>
      <c r="D13" s="55"/>
      <c r="E13" s="56" t="s">
        <v>119</v>
      </c>
      <c r="F13" s="57" t="s">
        <v>119</v>
      </c>
      <c r="G13" s="55">
        <f t="shared" si="0"/>
        <v>100</v>
      </c>
      <c r="H13" s="58">
        <f t="shared" si="1"/>
        <v>0</v>
      </c>
      <c r="I13" s="54" t="s">
        <v>124</v>
      </c>
      <c r="J13" s="54" t="s">
        <v>158</v>
      </c>
      <c r="K13" s="54" t="s">
        <v>4</v>
      </c>
      <c r="L13" s="59" t="s">
        <v>126</v>
      </c>
      <c r="M13" s="54" t="s">
        <v>127</v>
      </c>
      <c r="N13" s="54" t="s">
        <v>159</v>
      </c>
    </row>
    <row r="14" ht="15" customHeight="1">
      <c r="A14" s="54" t="s">
        <v>154</v>
      </c>
      <c r="B14" s="54" t="s">
        <v>129</v>
      </c>
      <c r="C14" s="55">
        <v>100</v>
      </c>
      <c r="D14" s="55" t="s">
        <v>119</v>
      </c>
      <c r="E14" s="56" t="s">
        <v>119</v>
      </c>
      <c r="F14" s="57" t="s">
        <v>119</v>
      </c>
      <c r="G14" s="55" t="s">
        <v>119</v>
      </c>
      <c r="H14" s="58" t="s">
        <v>119</v>
      </c>
      <c r="I14" s="54" t="s">
        <v>130</v>
      </c>
      <c r="J14" s="54" t="s">
        <v>160</v>
      </c>
      <c r="K14" s="54" t="s">
        <v>4</v>
      </c>
      <c r="L14" s="59" t="s">
        <v>132</v>
      </c>
      <c r="M14" s="54" t="s">
        <v>151</v>
      </c>
      <c r="N14" s="54" t="s">
        <v>161</v>
      </c>
    </row>
    <row r="15" ht="15" customHeight="1">
      <c r="A15" s="54" t="s">
        <v>154</v>
      </c>
      <c r="B15" s="54" t="s">
        <v>135</v>
      </c>
      <c r="C15" s="55">
        <v>100</v>
      </c>
      <c r="D15" s="55" t="s">
        <v>119</v>
      </c>
      <c r="E15" s="56" t="s">
        <v>119</v>
      </c>
      <c r="F15" s="57" t="s">
        <v>119</v>
      </c>
      <c r="G15" s="55" t="s">
        <v>119</v>
      </c>
      <c r="H15" s="58" t="s">
        <v>119</v>
      </c>
      <c r="I15" s="54" t="s">
        <v>162</v>
      </c>
      <c r="J15" s="54" t="s">
        <v>143</v>
      </c>
      <c r="K15" s="54" t="s">
        <v>4</v>
      </c>
      <c r="L15" s="59" t="s">
        <v>138</v>
      </c>
      <c r="M15" s="54" t="s">
        <v>151</v>
      </c>
      <c r="N15" s="54" t="s">
        <v>163</v>
      </c>
    </row>
    <row r="16" ht="15" customHeight="1">
      <c r="A16" s="54" t="s">
        <v>154</v>
      </c>
      <c r="B16" s="54" t="s">
        <v>141</v>
      </c>
      <c r="C16" s="55">
        <v>100</v>
      </c>
      <c r="D16" s="55" t="s">
        <v>119</v>
      </c>
      <c r="E16" s="56" t="s">
        <v>119</v>
      </c>
      <c r="F16" s="57" t="s">
        <v>119</v>
      </c>
      <c r="G16" s="55" t="s">
        <v>119</v>
      </c>
      <c r="H16" s="58" t="s">
        <v>119</v>
      </c>
      <c r="I16" s="54" t="s">
        <v>142</v>
      </c>
      <c r="J16" s="54" t="s">
        <v>164</v>
      </c>
      <c r="K16" s="54" t="s">
        <v>4</v>
      </c>
      <c r="L16" s="59" t="s">
        <v>144</v>
      </c>
      <c r="M16" s="54" t="s">
        <v>145</v>
      </c>
      <c r="N16" s="54" t="s">
        <v>165</v>
      </c>
    </row>
    <row r="17" ht="15" customHeight="1">
      <c r="A17" s="54" t="s">
        <v>154</v>
      </c>
      <c r="B17" s="54" t="s">
        <v>147</v>
      </c>
      <c r="C17" s="55">
        <v>100</v>
      </c>
      <c r="D17" s="55" t="s">
        <v>119</v>
      </c>
      <c r="E17" s="56" t="s">
        <v>119</v>
      </c>
      <c r="F17" s="57" t="s">
        <v>119</v>
      </c>
      <c r="G17" s="55" t="s">
        <v>119</v>
      </c>
      <c r="H17" s="58" t="s">
        <v>119</v>
      </c>
      <c r="I17" s="54" t="s">
        <v>148</v>
      </c>
      <c r="J17" s="54" t="s">
        <v>166</v>
      </c>
      <c r="K17" s="54" t="s">
        <v>4</v>
      </c>
      <c r="L17" s="59" t="s">
        <v>150</v>
      </c>
      <c r="M17" s="54" t="s">
        <v>151</v>
      </c>
      <c r="N17" s="54" t="s">
        <v>167</v>
      </c>
    </row>
    <row r="18" ht="16.5" customHeight="1">
      <c r="A18" s="48" t="s">
        <v>168</v>
      </c>
      <c r="B18" s="49"/>
      <c r="C18" s="50"/>
      <c r="D18" s="50"/>
      <c r="E18" s="51"/>
      <c r="F18" s="52"/>
      <c r="G18" s="50"/>
      <c r="H18" s="53"/>
      <c r="I18" s="49"/>
      <c r="J18" s="49"/>
      <c r="K18" s="49"/>
      <c r="L18" s="49"/>
      <c r="M18" s="49"/>
      <c r="N18" s="49"/>
    </row>
    <row r="19" ht="15" customHeight="1">
      <c r="A19" s="54" t="s">
        <v>169</v>
      </c>
      <c r="B19" s="54" t="s">
        <v>118</v>
      </c>
      <c r="C19" s="55">
        <v>100</v>
      </c>
      <c r="D19" s="55" t="s">
        <v>119</v>
      </c>
      <c r="E19" s="56" t="s">
        <v>119</v>
      </c>
      <c r="F19" s="57" t="s">
        <v>119</v>
      </c>
      <c r="G19" s="55" t="s">
        <v>119</v>
      </c>
      <c r="H19" s="58" t="s">
        <v>119</v>
      </c>
      <c r="I19" s="54" t="s">
        <v>119</v>
      </c>
      <c r="J19" s="54" t="s">
        <v>155</v>
      </c>
      <c r="K19" s="54" t="s">
        <v>4</v>
      </c>
      <c r="L19" s="59" t="s">
        <v>156</v>
      </c>
      <c r="M19" s="54" t="s">
        <v>122</v>
      </c>
      <c r="N19" s="54" t="s">
        <v>157</v>
      </c>
    </row>
    <row r="20" ht="15" customHeight="1">
      <c r="A20" s="54" t="s">
        <v>169</v>
      </c>
      <c r="B20" s="54" t="s">
        <v>123</v>
      </c>
      <c r="C20" s="55">
        <v>100</v>
      </c>
      <c r="D20" s="55" t="s">
        <v>119</v>
      </c>
      <c r="E20" s="56" t="s">
        <v>119</v>
      </c>
      <c r="F20" s="57" t="s">
        <v>119</v>
      </c>
      <c r="G20" s="55" t="s">
        <v>119</v>
      </c>
      <c r="H20" s="58" t="s">
        <v>119</v>
      </c>
      <c r="I20" s="54" t="s">
        <v>130</v>
      </c>
      <c r="J20" s="54" t="s">
        <v>170</v>
      </c>
      <c r="K20" s="54" t="s">
        <v>4</v>
      </c>
      <c r="L20" s="59" t="s">
        <v>126</v>
      </c>
      <c r="M20" s="54" t="s">
        <v>145</v>
      </c>
      <c r="N20" s="54" t="s">
        <v>171</v>
      </c>
    </row>
    <row r="21" ht="15" customHeight="1">
      <c r="A21" s="54" t="s">
        <v>169</v>
      </c>
      <c r="B21" s="54" t="s">
        <v>129</v>
      </c>
      <c r="C21" s="55">
        <v>100</v>
      </c>
      <c r="D21" s="55" t="s">
        <v>119</v>
      </c>
      <c r="E21" s="56" t="s">
        <v>119</v>
      </c>
      <c r="F21" s="57" t="s">
        <v>119</v>
      </c>
      <c r="G21" s="55" t="s">
        <v>119</v>
      </c>
      <c r="H21" s="58" t="s">
        <v>119</v>
      </c>
      <c r="I21" s="54" t="s">
        <v>130</v>
      </c>
      <c r="J21" s="54" t="s">
        <v>172</v>
      </c>
      <c r="K21" s="54" t="s">
        <v>4</v>
      </c>
      <c r="L21" s="59" t="s">
        <v>132</v>
      </c>
      <c r="M21" s="54" t="s">
        <v>133</v>
      </c>
      <c r="N21" s="54" t="s">
        <v>173</v>
      </c>
    </row>
    <row r="22" ht="15" customHeight="1">
      <c r="A22" s="54" t="s">
        <v>169</v>
      </c>
      <c r="B22" s="54" t="s">
        <v>135</v>
      </c>
      <c r="C22" s="55">
        <v>100</v>
      </c>
      <c r="D22" s="55" t="s">
        <v>119</v>
      </c>
      <c r="E22" s="56" t="s">
        <v>119</v>
      </c>
      <c r="F22" s="57" t="s">
        <v>119</v>
      </c>
      <c r="G22" s="55" t="s">
        <v>119</v>
      </c>
      <c r="H22" s="58" t="s">
        <v>119</v>
      </c>
      <c r="I22" s="54" t="s">
        <v>162</v>
      </c>
      <c r="J22" s="54" t="s">
        <v>174</v>
      </c>
      <c r="K22" s="54" t="s">
        <v>4</v>
      </c>
      <c r="L22" s="59" t="s">
        <v>138</v>
      </c>
      <c r="M22" s="54" t="s">
        <v>151</v>
      </c>
      <c r="N22" s="54" t="s">
        <v>175</v>
      </c>
    </row>
    <row r="23" ht="15" customHeight="1">
      <c r="A23" s="54" t="s">
        <v>169</v>
      </c>
      <c r="B23" s="54" t="s">
        <v>141</v>
      </c>
      <c r="C23" s="55">
        <v>100</v>
      </c>
      <c r="D23" s="55" t="s">
        <v>119</v>
      </c>
      <c r="E23" s="56" t="s">
        <v>119</v>
      </c>
      <c r="F23" s="57" t="s">
        <v>119</v>
      </c>
      <c r="G23" s="55" t="s">
        <v>119</v>
      </c>
      <c r="H23" s="58" t="s">
        <v>119</v>
      </c>
      <c r="I23" s="54" t="s">
        <v>142</v>
      </c>
      <c r="J23" s="54" t="s">
        <v>160</v>
      </c>
      <c r="K23" s="54" t="s">
        <v>4</v>
      </c>
      <c r="L23" s="59" t="s">
        <v>144</v>
      </c>
      <c r="M23" s="54" t="s">
        <v>145</v>
      </c>
      <c r="N23" s="54" t="s">
        <v>176</v>
      </c>
    </row>
    <row r="24" ht="15" customHeight="1">
      <c r="A24" s="54" t="s">
        <v>169</v>
      </c>
      <c r="B24" s="54" t="s">
        <v>147</v>
      </c>
      <c r="C24" s="55">
        <v>100</v>
      </c>
      <c r="D24" s="55" t="s">
        <v>119</v>
      </c>
      <c r="E24" s="56" t="s">
        <v>119</v>
      </c>
      <c r="F24" s="57" t="s">
        <v>119</v>
      </c>
      <c r="G24" s="55" t="s">
        <v>119</v>
      </c>
      <c r="H24" s="58" t="s">
        <v>119</v>
      </c>
      <c r="I24" s="54" t="s">
        <v>148</v>
      </c>
      <c r="J24" s="54" t="s">
        <v>177</v>
      </c>
      <c r="K24" s="54" t="s">
        <v>4</v>
      </c>
      <c r="L24" s="59" t="s">
        <v>150</v>
      </c>
      <c r="M24" s="54" t="s">
        <v>151</v>
      </c>
      <c r="N24" s="54" t="s">
        <v>178</v>
      </c>
    </row>
    <row r="25" ht="16.5" customHeight="1">
      <c r="A25" s="48" t="s">
        <v>179</v>
      </c>
      <c r="B25" s="49"/>
      <c r="C25" s="50"/>
      <c r="D25" s="50"/>
      <c r="E25" s="51"/>
      <c r="F25" s="52"/>
      <c r="G25" s="50"/>
      <c r="H25" s="53"/>
      <c r="I25" s="49"/>
      <c r="J25" s="49"/>
      <c r="K25" s="49"/>
      <c r="L25" s="49"/>
      <c r="M25" s="49"/>
      <c r="N25" s="49"/>
    </row>
    <row r="26" ht="15" customHeight="1">
      <c r="A26" s="54" t="s">
        <v>180</v>
      </c>
      <c r="B26" s="54" t="s">
        <v>118</v>
      </c>
      <c r="C26" s="55">
        <v>100</v>
      </c>
      <c r="D26" s="55" t="s">
        <v>119</v>
      </c>
      <c r="E26" s="56" t="s">
        <v>119</v>
      </c>
      <c r="F26" s="57" t="s">
        <v>119</v>
      </c>
      <c r="G26" s="55" t="s">
        <v>119</v>
      </c>
      <c r="H26" s="58" t="s">
        <v>119</v>
      </c>
      <c r="I26" s="54" t="s">
        <v>119</v>
      </c>
      <c r="J26" s="54" t="s">
        <v>155</v>
      </c>
      <c r="K26" s="54" t="s">
        <v>4</v>
      </c>
      <c r="L26" s="59" t="s">
        <v>156</v>
      </c>
      <c r="M26" s="54" t="s">
        <v>122</v>
      </c>
      <c r="N26" s="54" t="s">
        <v>157</v>
      </c>
    </row>
    <row r="27" ht="15" customHeight="1">
      <c r="A27" s="54" t="s">
        <v>180</v>
      </c>
      <c r="B27" s="54" t="s">
        <v>123</v>
      </c>
      <c r="C27" s="55">
        <v>100</v>
      </c>
      <c r="D27" s="55"/>
      <c r="E27" s="56" t="s">
        <v>119</v>
      </c>
      <c r="F27" s="57" t="s">
        <v>119</v>
      </c>
      <c r="G27" s="55">
        <f t="shared" si="0"/>
        <v>100</v>
      </c>
      <c r="H27" s="58">
        <f t="shared" si="1"/>
        <v>0</v>
      </c>
      <c r="I27" s="54" t="s">
        <v>124</v>
      </c>
      <c r="J27" s="54" t="s">
        <v>181</v>
      </c>
      <c r="K27" s="54" t="s">
        <v>4</v>
      </c>
      <c r="L27" s="59" t="s">
        <v>126</v>
      </c>
      <c r="M27" s="54" t="s">
        <v>127</v>
      </c>
      <c r="N27" s="54" t="s">
        <v>182</v>
      </c>
    </row>
    <row r="28" ht="15" customHeight="1">
      <c r="A28" s="54" t="s">
        <v>180</v>
      </c>
      <c r="B28" s="54" t="s">
        <v>129</v>
      </c>
      <c r="C28" s="55">
        <v>100</v>
      </c>
      <c r="D28" s="55" t="s">
        <v>119</v>
      </c>
      <c r="E28" s="56" t="s">
        <v>119</v>
      </c>
      <c r="F28" s="57" t="s">
        <v>119</v>
      </c>
      <c r="G28" s="55" t="s">
        <v>119</v>
      </c>
      <c r="H28" s="58" t="s">
        <v>119</v>
      </c>
      <c r="I28" s="54" t="s">
        <v>130</v>
      </c>
      <c r="J28" s="54" t="s">
        <v>166</v>
      </c>
      <c r="K28" s="54" t="s">
        <v>4</v>
      </c>
      <c r="L28" s="59" t="s">
        <v>132</v>
      </c>
      <c r="M28" s="54" t="s">
        <v>151</v>
      </c>
      <c r="N28" s="54" t="s">
        <v>183</v>
      </c>
    </row>
    <row r="29" ht="15" customHeight="1">
      <c r="A29" s="54" t="s">
        <v>180</v>
      </c>
      <c r="B29" s="54" t="s">
        <v>135</v>
      </c>
      <c r="C29" s="55">
        <v>100</v>
      </c>
      <c r="D29" s="55" t="s">
        <v>119</v>
      </c>
      <c r="E29" s="56" t="s">
        <v>119</v>
      </c>
      <c r="F29" s="57" t="s">
        <v>119</v>
      </c>
      <c r="G29" s="55" t="s">
        <v>119</v>
      </c>
      <c r="H29" s="58" t="s">
        <v>119</v>
      </c>
      <c r="I29" s="54" t="s">
        <v>184</v>
      </c>
      <c r="J29" s="54" t="s">
        <v>185</v>
      </c>
      <c r="K29" s="54" t="s">
        <v>4</v>
      </c>
      <c r="L29" s="59" t="s">
        <v>138</v>
      </c>
      <c r="M29" s="54" t="s">
        <v>151</v>
      </c>
      <c r="N29" s="54" t="s">
        <v>163</v>
      </c>
    </row>
    <row r="30" ht="15" customHeight="1">
      <c r="A30" s="54" t="s">
        <v>180</v>
      </c>
      <c r="B30" s="54" t="s">
        <v>141</v>
      </c>
      <c r="C30" s="55">
        <v>100</v>
      </c>
      <c r="D30" s="55" t="s">
        <v>119</v>
      </c>
      <c r="E30" s="56" t="s">
        <v>119</v>
      </c>
      <c r="F30" s="57" t="s">
        <v>119</v>
      </c>
      <c r="G30" s="55" t="s">
        <v>119</v>
      </c>
      <c r="H30" s="58" t="s">
        <v>119</v>
      </c>
      <c r="I30" s="54" t="s">
        <v>142</v>
      </c>
      <c r="J30" s="54" t="s">
        <v>185</v>
      </c>
      <c r="K30" s="54" t="s">
        <v>4</v>
      </c>
      <c r="L30" s="59" t="s">
        <v>144</v>
      </c>
      <c r="M30" s="54" t="s">
        <v>145</v>
      </c>
      <c r="N30" s="54" t="s">
        <v>186</v>
      </c>
    </row>
    <row r="31" ht="15" customHeight="1">
      <c r="A31" s="54" t="s">
        <v>180</v>
      </c>
      <c r="B31" s="54" t="s">
        <v>147</v>
      </c>
      <c r="C31" s="55">
        <v>100</v>
      </c>
      <c r="D31" s="55" t="s">
        <v>119</v>
      </c>
      <c r="E31" s="56" t="s">
        <v>119</v>
      </c>
      <c r="F31" s="57" t="s">
        <v>119</v>
      </c>
      <c r="G31" s="55" t="s">
        <v>119</v>
      </c>
      <c r="H31" s="58" t="s">
        <v>119</v>
      </c>
      <c r="I31" s="54" t="s">
        <v>148</v>
      </c>
      <c r="J31" s="54" t="s">
        <v>166</v>
      </c>
      <c r="K31" s="54" t="s">
        <v>4</v>
      </c>
      <c r="L31" s="59" t="s">
        <v>150</v>
      </c>
      <c r="M31" s="54" t="s">
        <v>151</v>
      </c>
      <c r="N31" s="54" t="s">
        <v>167</v>
      </c>
    </row>
    <row r="32" ht="16.5" customHeight="1">
      <c r="A32" s="48" t="s">
        <v>187</v>
      </c>
      <c r="B32" s="49"/>
      <c r="C32" s="50"/>
      <c r="D32" s="50"/>
      <c r="E32" s="51"/>
      <c r="F32" s="52"/>
      <c r="G32" s="50"/>
      <c r="H32" s="53"/>
      <c r="I32" s="49"/>
      <c r="J32" s="49"/>
      <c r="K32" s="49"/>
      <c r="L32" s="49"/>
      <c r="M32" s="49"/>
      <c r="N32" s="49"/>
    </row>
    <row r="33" ht="15" customHeight="1">
      <c r="A33" s="54" t="s">
        <v>188</v>
      </c>
      <c r="B33" s="54" t="s">
        <v>118</v>
      </c>
      <c r="C33" s="55">
        <v>100</v>
      </c>
      <c r="D33" s="55" t="s">
        <v>119</v>
      </c>
      <c r="E33" s="56" t="s">
        <v>119</v>
      </c>
      <c r="F33" s="57" t="s">
        <v>119</v>
      </c>
      <c r="G33" s="55" t="s">
        <v>119</v>
      </c>
      <c r="H33" s="58" t="s">
        <v>119</v>
      </c>
      <c r="I33" s="54" t="s">
        <v>119</v>
      </c>
      <c r="J33" s="54" t="s">
        <v>155</v>
      </c>
      <c r="K33" s="54" t="s">
        <v>4</v>
      </c>
      <c r="L33" s="59" t="s">
        <v>156</v>
      </c>
      <c r="M33" s="54" t="s">
        <v>122</v>
      </c>
      <c r="N33" s="54" t="s">
        <v>157</v>
      </c>
    </row>
    <row r="34" ht="15" customHeight="1">
      <c r="A34" s="54" t="s">
        <v>188</v>
      </c>
      <c r="B34" s="54" t="s">
        <v>123</v>
      </c>
      <c r="C34" s="55">
        <v>100</v>
      </c>
      <c r="D34" s="55" t="s">
        <v>119</v>
      </c>
      <c r="E34" s="56" t="s">
        <v>119</v>
      </c>
      <c r="F34" s="57" t="s">
        <v>119</v>
      </c>
      <c r="G34" s="55" t="s">
        <v>119</v>
      </c>
      <c r="H34" s="58" t="s">
        <v>119</v>
      </c>
      <c r="I34" s="54" t="s">
        <v>130</v>
      </c>
      <c r="J34" s="54" t="s">
        <v>189</v>
      </c>
      <c r="K34" s="54" t="s">
        <v>4</v>
      </c>
      <c r="L34" s="59" t="s">
        <v>126</v>
      </c>
      <c r="M34" s="54" t="s">
        <v>145</v>
      </c>
      <c r="N34" s="54" t="s">
        <v>190</v>
      </c>
    </row>
    <row r="35" ht="15" customHeight="1">
      <c r="A35" s="54" t="s">
        <v>188</v>
      </c>
      <c r="B35" s="54" t="s">
        <v>129</v>
      </c>
      <c r="C35" s="55">
        <v>100</v>
      </c>
      <c r="D35" s="55" t="s">
        <v>119</v>
      </c>
      <c r="E35" s="56" t="s">
        <v>119</v>
      </c>
      <c r="F35" s="57" t="s">
        <v>119</v>
      </c>
      <c r="G35" s="55" t="s">
        <v>119</v>
      </c>
      <c r="H35" s="58" t="s">
        <v>119</v>
      </c>
      <c r="I35" s="54" t="s">
        <v>130</v>
      </c>
      <c r="J35" s="54" t="s">
        <v>191</v>
      </c>
      <c r="K35" s="54" t="s">
        <v>4</v>
      </c>
      <c r="L35" s="59" t="s">
        <v>132</v>
      </c>
      <c r="M35" s="54" t="s">
        <v>133</v>
      </c>
      <c r="N35" s="54" t="s">
        <v>192</v>
      </c>
    </row>
    <row r="36" ht="15" customHeight="1">
      <c r="A36" s="54" t="s">
        <v>188</v>
      </c>
      <c r="B36" s="54" t="s">
        <v>135</v>
      </c>
      <c r="C36" s="55">
        <v>100</v>
      </c>
      <c r="D36" s="55" t="s">
        <v>119</v>
      </c>
      <c r="E36" s="56" t="s">
        <v>119</v>
      </c>
      <c r="F36" s="57" t="s">
        <v>119</v>
      </c>
      <c r="G36" s="55" t="s">
        <v>119</v>
      </c>
      <c r="H36" s="58" t="s">
        <v>119</v>
      </c>
      <c r="I36" s="54" t="s">
        <v>184</v>
      </c>
      <c r="J36" s="54" t="s">
        <v>193</v>
      </c>
      <c r="K36" s="54" t="s">
        <v>4</v>
      </c>
      <c r="L36" s="59" t="s">
        <v>138</v>
      </c>
      <c r="M36" s="54" t="s">
        <v>151</v>
      </c>
      <c r="N36" s="54" t="s">
        <v>163</v>
      </c>
    </row>
    <row r="37" ht="15" customHeight="1">
      <c r="A37" s="54" t="s">
        <v>188</v>
      </c>
      <c r="B37" s="54" t="s">
        <v>141</v>
      </c>
      <c r="C37" s="55">
        <v>100</v>
      </c>
      <c r="D37" s="55" t="s">
        <v>119</v>
      </c>
      <c r="E37" s="56" t="s">
        <v>119</v>
      </c>
      <c r="F37" s="57" t="s">
        <v>119</v>
      </c>
      <c r="G37" s="55" t="s">
        <v>119</v>
      </c>
      <c r="H37" s="58" t="s">
        <v>119</v>
      </c>
      <c r="I37" s="54" t="s">
        <v>142</v>
      </c>
      <c r="J37" s="54" t="s">
        <v>193</v>
      </c>
      <c r="K37" s="54" t="s">
        <v>4</v>
      </c>
      <c r="L37" s="59" t="s">
        <v>144</v>
      </c>
      <c r="M37" s="54" t="s">
        <v>145</v>
      </c>
      <c r="N37" s="54" t="s">
        <v>194</v>
      </c>
    </row>
    <row r="38" ht="15" customHeight="1">
      <c r="A38" s="54" t="s">
        <v>188</v>
      </c>
      <c r="B38" s="54" t="s">
        <v>147</v>
      </c>
      <c r="C38" s="55">
        <v>100</v>
      </c>
      <c r="D38" s="55"/>
      <c r="E38" s="56" t="s">
        <v>119</v>
      </c>
      <c r="F38" s="57" t="s">
        <v>119</v>
      </c>
      <c r="G38" s="55">
        <f t="shared" si="0"/>
        <v>100</v>
      </c>
      <c r="H38" s="58">
        <f t="shared" si="1"/>
        <v>0</v>
      </c>
      <c r="I38" s="54" t="s">
        <v>148</v>
      </c>
      <c r="J38" s="54" t="s">
        <v>195</v>
      </c>
      <c r="K38" s="54" t="s">
        <v>4</v>
      </c>
      <c r="L38" s="59" t="s">
        <v>150</v>
      </c>
      <c r="M38" s="54" t="s">
        <v>127</v>
      </c>
      <c r="N38" s="54" t="s">
        <v>196</v>
      </c>
    </row>
    <row r="39" ht="16.5" customHeight="1">
      <c r="A39" s="48" t="s">
        <v>197</v>
      </c>
      <c r="B39" s="49"/>
      <c r="C39" s="50"/>
      <c r="D39" s="50"/>
      <c r="E39" s="51"/>
      <c r="F39" s="52"/>
      <c r="G39" s="50"/>
      <c r="H39" s="53"/>
      <c r="I39" s="49"/>
      <c r="J39" s="49"/>
      <c r="K39" s="49"/>
      <c r="L39" s="49"/>
      <c r="M39" s="49"/>
      <c r="N39" s="49"/>
    </row>
    <row r="40" ht="15" customHeight="1">
      <c r="A40" s="54" t="s">
        <v>198</v>
      </c>
      <c r="B40" s="54" t="s">
        <v>118</v>
      </c>
      <c r="C40" s="55">
        <v>100</v>
      </c>
      <c r="D40" s="55" t="s">
        <v>119</v>
      </c>
      <c r="E40" s="56" t="s">
        <v>119</v>
      </c>
      <c r="F40" s="57" t="s">
        <v>119</v>
      </c>
      <c r="G40" s="55" t="s">
        <v>119</v>
      </c>
      <c r="H40" s="58" t="s">
        <v>119</v>
      </c>
      <c r="I40" s="54" t="s">
        <v>119</v>
      </c>
      <c r="J40" s="54" t="s">
        <v>155</v>
      </c>
      <c r="K40" s="54" t="s">
        <v>4</v>
      </c>
      <c r="L40" s="59" t="s">
        <v>156</v>
      </c>
      <c r="M40" s="54" t="s">
        <v>122</v>
      </c>
      <c r="N40" s="54" t="s">
        <v>157</v>
      </c>
    </row>
    <row r="41" ht="15" customHeight="1">
      <c r="A41" s="54" t="s">
        <v>198</v>
      </c>
      <c r="B41" s="54" t="s">
        <v>123</v>
      </c>
      <c r="C41" s="55">
        <v>100</v>
      </c>
      <c r="D41" s="55" t="s">
        <v>119</v>
      </c>
      <c r="E41" s="56" t="s">
        <v>119</v>
      </c>
      <c r="F41" s="57" t="s">
        <v>119</v>
      </c>
      <c r="G41" s="55" t="s">
        <v>119</v>
      </c>
      <c r="H41" s="58" t="s">
        <v>119</v>
      </c>
      <c r="I41" s="54" t="s">
        <v>130</v>
      </c>
      <c r="J41" s="54" t="s">
        <v>199</v>
      </c>
      <c r="K41" s="54" t="s">
        <v>4</v>
      </c>
      <c r="L41" s="59" t="s">
        <v>126</v>
      </c>
      <c r="M41" s="54" t="s">
        <v>145</v>
      </c>
      <c r="N41" s="54" t="s">
        <v>200</v>
      </c>
    </row>
    <row r="42" ht="15" customHeight="1">
      <c r="A42" s="54" t="s">
        <v>198</v>
      </c>
      <c r="B42" s="54" t="s">
        <v>129</v>
      </c>
      <c r="C42" s="55">
        <v>100</v>
      </c>
      <c r="D42" s="55" t="s">
        <v>119</v>
      </c>
      <c r="E42" s="56" t="s">
        <v>119</v>
      </c>
      <c r="F42" s="57" t="s">
        <v>119</v>
      </c>
      <c r="G42" s="55" t="s">
        <v>119</v>
      </c>
      <c r="H42" s="58" t="s">
        <v>119</v>
      </c>
      <c r="I42" s="54" t="s">
        <v>130</v>
      </c>
      <c r="J42" s="54" t="s">
        <v>160</v>
      </c>
      <c r="K42" s="54" t="s">
        <v>4</v>
      </c>
      <c r="L42" s="59" t="s">
        <v>132</v>
      </c>
      <c r="M42" s="54" t="s">
        <v>151</v>
      </c>
      <c r="N42" s="54" t="s">
        <v>201</v>
      </c>
    </row>
    <row r="43" ht="15" customHeight="1">
      <c r="A43" s="54" t="s">
        <v>198</v>
      </c>
      <c r="B43" s="54" t="s">
        <v>135</v>
      </c>
      <c r="C43" s="55">
        <v>100</v>
      </c>
      <c r="D43" s="55">
        <v>1.99</v>
      </c>
      <c r="E43" s="56" t="s">
        <v>119</v>
      </c>
      <c r="F43" s="57" t="s">
        <v>119</v>
      </c>
      <c r="G43" s="55">
        <f t="shared" si="0"/>
        <v>101.99</v>
      </c>
      <c r="H43" s="58">
        <f t="shared" si="1"/>
        <v>0.0199</v>
      </c>
      <c r="I43" s="54" t="s">
        <v>184</v>
      </c>
      <c r="J43" s="54" t="s">
        <v>202</v>
      </c>
      <c r="K43" s="54" t="s">
        <v>4</v>
      </c>
      <c r="L43" s="59" t="s">
        <v>138</v>
      </c>
      <c r="M43" s="54" t="s">
        <v>127</v>
      </c>
      <c r="N43" s="54" t="s">
        <v>203</v>
      </c>
    </row>
    <row r="44" ht="15" customHeight="1">
      <c r="A44" s="54" t="s">
        <v>198</v>
      </c>
      <c r="B44" s="54" t="s">
        <v>141</v>
      </c>
      <c r="C44" s="55">
        <v>100</v>
      </c>
      <c r="D44" s="55" t="s">
        <v>119</v>
      </c>
      <c r="E44" s="56" t="s">
        <v>119</v>
      </c>
      <c r="F44" s="57" t="s">
        <v>119</v>
      </c>
      <c r="G44" s="55" t="s">
        <v>119</v>
      </c>
      <c r="H44" s="58" t="s">
        <v>119</v>
      </c>
      <c r="I44" s="54" t="s">
        <v>142</v>
      </c>
      <c r="J44" s="54" t="s">
        <v>204</v>
      </c>
      <c r="K44" s="54" t="s">
        <v>4</v>
      </c>
      <c r="L44" s="59" t="s">
        <v>144</v>
      </c>
      <c r="M44" s="54" t="s">
        <v>145</v>
      </c>
      <c r="N44" s="54" t="s">
        <v>176</v>
      </c>
    </row>
    <row r="45" ht="15" customHeight="1">
      <c r="A45" s="54" t="s">
        <v>198</v>
      </c>
      <c r="B45" s="54" t="s">
        <v>147</v>
      </c>
      <c r="C45" s="55">
        <v>100</v>
      </c>
      <c r="D45" s="55"/>
      <c r="E45" s="56" t="s">
        <v>119</v>
      </c>
      <c r="F45" s="57" t="s">
        <v>119</v>
      </c>
      <c r="G45" s="55">
        <f t="shared" si="0"/>
        <v>100</v>
      </c>
      <c r="H45" s="58">
        <f t="shared" si="1"/>
        <v>0</v>
      </c>
      <c r="I45" s="54" t="s">
        <v>148</v>
      </c>
      <c r="J45" s="54" t="s">
        <v>205</v>
      </c>
      <c r="K45" s="54" t="s">
        <v>4</v>
      </c>
      <c r="L45" s="59" t="s">
        <v>150</v>
      </c>
      <c r="M45" s="54" t="s">
        <v>127</v>
      </c>
      <c r="N45" s="54" t="s">
        <v>206</v>
      </c>
    </row>
    <row r="46" ht="16.5" customHeight="1">
      <c r="A46" s="48" t="s">
        <v>207</v>
      </c>
      <c r="B46" s="49"/>
      <c r="C46" s="50"/>
      <c r="D46" s="50"/>
      <c r="E46" s="51"/>
      <c r="F46" s="52"/>
      <c r="G46" s="50"/>
      <c r="H46" s="53"/>
      <c r="I46" s="49"/>
      <c r="J46" s="49"/>
      <c r="K46" s="49"/>
      <c r="L46" s="49"/>
      <c r="M46" s="49"/>
      <c r="N46" s="49"/>
    </row>
    <row r="47" ht="15" customHeight="1">
      <c r="A47" s="60" t="s">
        <v>208</v>
      </c>
      <c r="B47" s="60" t="s">
        <v>118</v>
      </c>
      <c r="C47" s="61">
        <v>100</v>
      </c>
      <c r="D47" s="62"/>
      <c r="E47" s="63"/>
      <c r="F47" s="64"/>
      <c r="G47" s="62"/>
      <c r="H47" s="65"/>
      <c r="I47" s="66"/>
      <c r="J47" s="66"/>
      <c r="K47" s="66" t="s">
        <v>4</v>
      </c>
      <c r="L47" s="66"/>
      <c r="M47" s="66"/>
      <c r="N47" s="66" t="s">
        <v>209</v>
      </c>
    </row>
    <row r="48" ht="15" customHeight="1">
      <c r="A48" s="60" t="s">
        <v>208</v>
      </c>
      <c r="B48" s="60" t="s">
        <v>123</v>
      </c>
      <c r="C48" s="61">
        <v>100</v>
      </c>
      <c r="D48" s="62"/>
      <c r="E48" s="63"/>
      <c r="F48" s="64"/>
      <c r="G48" s="62"/>
      <c r="H48" s="65"/>
      <c r="I48" s="66"/>
      <c r="J48" s="66"/>
      <c r="K48" s="66" t="s">
        <v>4</v>
      </c>
      <c r="L48" s="66"/>
      <c r="M48" s="66"/>
      <c r="N48" s="66" t="s">
        <v>209</v>
      </c>
    </row>
    <row r="49" ht="15" customHeight="1">
      <c r="A49" s="60" t="s">
        <v>208</v>
      </c>
      <c r="B49" s="60" t="s">
        <v>129</v>
      </c>
      <c r="C49" s="61">
        <v>100</v>
      </c>
      <c r="D49" s="62"/>
      <c r="E49" s="63"/>
      <c r="F49" s="64"/>
      <c r="G49" s="62"/>
      <c r="H49" s="65"/>
      <c r="I49" s="66"/>
      <c r="J49" s="66"/>
      <c r="K49" s="66" t="s">
        <v>4</v>
      </c>
      <c r="L49" s="66"/>
      <c r="M49" s="66"/>
      <c r="N49" s="66" t="s">
        <v>209</v>
      </c>
    </row>
    <row r="50" ht="15" customHeight="1">
      <c r="A50" s="60" t="s">
        <v>208</v>
      </c>
      <c r="B50" s="60" t="s">
        <v>135</v>
      </c>
      <c r="C50" s="61">
        <v>100</v>
      </c>
      <c r="D50" s="62"/>
      <c r="E50" s="63"/>
      <c r="F50" s="64"/>
      <c r="G50" s="62"/>
      <c r="H50" s="65"/>
      <c r="I50" s="66"/>
      <c r="J50" s="66"/>
      <c r="K50" s="66" t="s">
        <v>4</v>
      </c>
      <c r="L50" s="66"/>
      <c r="M50" s="66"/>
      <c r="N50" s="66" t="s">
        <v>209</v>
      </c>
    </row>
    <row r="51" ht="15" customHeight="1">
      <c r="A51" s="60" t="s">
        <v>208</v>
      </c>
      <c r="B51" s="60" t="s">
        <v>141</v>
      </c>
      <c r="C51" s="61">
        <v>100</v>
      </c>
      <c r="D51" s="62"/>
      <c r="E51" s="63"/>
      <c r="F51" s="64"/>
      <c r="G51" s="62"/>
      <c r="H51" s="65"/>
      <c r="I51" s="66"/>
      <c r="J51" s="66"/>
      <c r="K51" s="66" t="s">
        <v>4</v>
      </c>
      <c r="L51" s="66"/>
      <c r="M51" s="66"/>
      <c r="N51" s="66" t="s">
        <v>209</v>
      </c>
    </row>
    <row r="52" ht="15" customHeight="1">
      <c r="A52" s="60" t="s">
        <v>208</v>
      </c>
      <c r="B52" s="60" t="s">
        <v>147</v>
      </c>
      <c r="C52" s="61">
        <v>100</v>
      </c>
      <c r="D52" s="62"/>
      <c r="E52" s="63"/>
      <c r="F52" s="64"/>
      <c r="G52" s="62"/>
      <c r="H52" s="65"/>
      <c r="I52" s="66"/>
      <c r="J52" s="66"/>
      <c r="K52" s="66" t="s">
        <v>4</v>
      </c>
      <c r="L52" s="66"/>
      <c r="M52" s="66"/>
      <c r="N52" s="66" t="s">
        <v>209</v>
      </c>
    </row>
    <row r="55" ht="19.5" customHeight="1">
      <c r="A55" s="67" t="s">
        <v>210</v>
      </c>
    </row>
    <row r="56" ht="15" customHeight="1">
      <c r="A56" s="68" t="s">
        <v>102</v>
      </c>
      <c r="B56" s="68" t="s">
        <v>211</v>
      </c>
      <c r="C56" s="68" t="s">
        <v>212</v>
      </c>
      <c r="D56" s="68" t="s">
        <v>19</v>
      </c>
    </row>
    <row r="57" ht="15" customHeight="1">
      <c r="A57" s="69" t="s">
        <v>117</v>
      </c>
      <c r="B57" s="69" t="s">
        <v>123</v>
      </c>
      <c r="C57" s="61">
        <f>_xlfn.IFERROR(_xlfn.MINIFS(G:G,A:A,"Nigeria (NGN)"),"")</f>
        <v>100</v>
      </c>
      <c r="D57" s="69" t="s">
        <v>213</v>
      </c>
    </row>
    <row r="58" ht="15" customHeight="1">
      <c r="A58" s="70" t="s">
        <v>154</v>
      </c>
      <c r="B58" s="70" t="s">
        <v>123</v>
      </c>
      <c r="C58" s="71">
        <f>_xlfn.IFERROR(_xlfn.MINIFS(G:G,A:A,"Ghana (GHS)"),"")</f>
        <v>100</v>
      </c>
      <c r="D58" s="70" t="s">
        <v>213</v>
      </c>
    </row>
    <row r="59" ht="15" customHeight="1">
      <c r="A59" s="69" t="s">
        <v>169</v>
      </c>
      <c r="B59" s="69" t="s">
        <v>214</v>
      </c>
      <c r="C59" s="61">
        <f>_xlfn.IFERROR(_xlfn.MINIFS(G:G,A:A,"India (INR)"),"")</f>
        <v>0</v>
      </c>
      <c r="D59" s="69" t="s">
        <v>215</v>
      </c>
    </row>
    <row r="60" ht="15" customHeight="1">
      <c r="A60" s="70" t="s">
        <v>180</v>
      </c>
      <c r="B60" s="70" t="s">
        <v>123</v>
      </c>
      <c r="C60" s="71">
        <f>_xlfn.IFERROR(_xlfn.MINIFS(G:G,A:A,"Kenya (KES)"),"")</f>
        <v>100</v>
      </c>
      <c r="D60" s="70" t="s">
        <v>213</v>
      </c>
    </row>
    <row r="61" ht="15" customHeight="1">
      <c r="A61" s="69" t="s">
        <v>188</v>
      </c>
      <c r="B61" s="69" t="s">
        <v>147</v>
      </c>
      <c r="C61" s="61">
        <f>_xlfn.IFERROR(_xlfn.MINIFS(G:G,A:A,"Philippines (PHP)"),"")</f>
        <v>100</v>
      </c>
      <c r="D61" s="69" t="s">
        <v>216</v>
      </c>
    </row>
    <row r="62" ht="15" customHeight="1">
      <c r="A62" s="70" t="s">
        <v>198</v>
      </c>
      <c r="B62" s="70" t="s">
        <v>147</v>
      </c>
      <c r="C62" s="71">
        <f>_xlfn.IFERROR(_xlfn.MINIFS(G:G,A:A,"Mexico (MXN)"),"")</f>
        <v>100</v>
      </c>
      <c r="D62" s="70" t="s">
        <v>217</v>
      </c>
    </row>
  </sheetData>
  <mergeCells>
    <mergeCell ref="A1:N1"/>
    <mergeCell ref="A2:N2"/>
    <mergeCell ref="A4:N4"/>
    <mergeCell ref="A11:N11"/>
    <mergeCell ref="A18:N18"/>
    <mergeCell ref="A25:N25"/>
    <mergeCell ref="A32:N32"/>
    <mergeCell ref="A39:N39"/>
    <mergeCell ref="A46:N46"/>
    <mergeCell ref="A55:N55"/>
  </mergeCells>
  <conditionalFormatting sqref="G5:G10">
    <cfRule type="expression" dxfId="13" priority="6" text="null">
      <formula>AND(ISNUMBER(G5),G5=MIN(IF(ISNUMBER(G$5:G$10),G$5:G$10)))</formula>
    </cfRule>
  </conditionalFormatting>
  <conditionalFormatting sqref="G12:G17">
    <cfRule type="expression" dxfId="13" priority="5" text="null">
      <formula>AND(ISNUMBER(G12),G12=MIN(IF(ISNUMBER(G$12:G$17),G$12:G$17)))</formula>
    </cfRule>
  </conditionalFormatting>
  <conditionalFormatting sqref="G19:G24">
    <cfRule type="expression" dxfId="13" priority="4" text="null">
      <formula>AND(ISNUMBER(G19),G19=MIN(IF(ISNUMBER(G$19:G$24),G$19:G$24)))</formula>
    </cfRule>
  </conditionalFormatting>
  <conditionalFormatting sqref="G26:G31">
    <cfRule type="expression" dxfId="13" priority="3" text="null">
      <formula>AND(ISNUMBER(G26),G26=MIN(IF(ISNUMBER(G$26:G$31),G$26:G$31)))</formula>
    </cfRule>
  </conditionalFormatting>
  <conditionalFormatting sqref="G33:G38">
    <cfRule type="expression" dxfId="13" priority="2" text="null">
      <formula>AND(ISNUMBER(G33),G33=MIN(IF(ISNUMBER(G$33:G$38),G$33:G$38)))</formula>
    </cfRule>
  </conditionalFormatting>
  <conditionalFormatting sqref="G40:G45">
    <cfRule type="expression" dxfId="13" priority="1" text="null">
      <formula>AND(ISNUMBER(G40),G40=MIN(IF(ISNUMBER(G$40:G$45),G$40:G$45)))</formula>
    </cfRule>
  </conditionalFormatting>
  <hyperlinks>
    <hyperlink ref="M5" r:id="rId1" display="https://nexaremit.com" tooltip="https://nexaremit.com"/>
    <hyperlink ref="L6" r:id="rId2" display="www.taptapsend.com" tooltip="https://www.taptapsend.com/en/send-money-to/nigeria"/>
    <hyperlink ref="L7" r:id="rId3" display="wise.com" tooltip="https://wise.com/us/send-money/send-money-to-nigeria"/>
    <hyperlink ref="L8" r:id="rId4" display="www.remitly.com" tooltip="https://www.remitly.com/us/en/money-transfer/send-money-to-nigeria"/>
    <hyperlink ref="L9" r:id="rId5" display="www.worldremit.com" tooltip="https://www.worldremit.com/en/nigeria"/>
    <hyperlink ref="L10" r:id="rId6" display="www.xoom.com" tooltip="https://www.xoom.com/nigeria/send-money"/>
    <hyperlink ref="L12" r:id="rId7" display="nexaremit.com" tooltip="https://nexaremit.com"/>
    <hyperlink ref="L13" r:id="rId8" display="www.taptapsend.com" tooltip="https://www.taptapsend.com/en/send-money-to/ghana"/>
    <hyperlink ref="L14" r:id="rId9" display="wise.com" tooltip="https://wise.com/us/send-money/send-money-to-ghana"/>
    <hyperlink ref="L15" r:id="rId10" display="www.remitly.com" tooltip="https://www.remitly.com/us/en/money-transfer/send-money-to-ghana"/>
    <hyperlink ref="L16" r:id="rId11" display="www.worldremit.com" tooltip="https://www.worldremit.com/en/ghana"/>
    <hyperlink ref="L17" r:id="rId12" display="www.xoom.com" tooltip="https://www.xoom.com/ghana/send-money"/>
    <hyperlink ref="L19" r:id="rId13" display="nexaremit.com" tooltip="https://nexaremit.com"/>
    <hyperlink ref="L20" r:id="rId14" display="www.taptapsend.com" tooltip="https://www.taptapsend.com/en"/>
    <hyperlink ref="L21" r:id="rId15" display="wise.com" tooltip="https://wise.com/us/send-money/send-money-to-india"/>
    <hyperlink ref="L22" r:id="rId16" display="www.remitly.com" tooltip="https://www.remitly.com/us/en/money-transfer/send-money-to-india"/>
    <hyperlink ref="L23" r:id="rId17" display="www.worldremit.com" tooltip="https://www.worldremit.com/en/india"/>
    <hyperlink ref="L24" r:id="rId18" display="www.xoom.com" tooltip="https://www.xoom.com/india/send-money"/>
    <hyperlink ref="L26" r:id="rId19" display="nexaremit.com" tooltip="https://nexaremit.com"/>
    <hyperlink ref="L27" r:id="rId20" display="www.taptapsend.com" tooltip="https://www.taptapsend.com/en/send-money-to/kenya"/>
    <hyperlink ref="L28" r:id="rId21" display="wise.com" tooltip="https://wise.com/us/send-money/send-money-to-kenya"/>
    <hyperlink ref="L29" r:id="rId22" display="www.remitly.com" tooltip="https://www.remitly.com/us/en/money-transfer/send-money-to-kenya"/>
    <hyperlink ref="L30" r:id="rId23" display="www.worldremit.com" tooltip="https://www.worldremit.com/en/kenya"/>
    <hyperlink ref="L31" r:id="rId24" display="www.xoom.com" tooltip="https://www.xoom.com/kenya/send-money"/>
    <hyperlink ref="L33" r:id="rId25" display="nexaremit.com" tooltip="https://nexaremit.com"/>
    <hyperlink ref="L34" r:id="rId26" display="www.taptapsend.com" tooltip="https://www.taptapsend.com/en"/>
    <hyperlink ref="L35" r:id="rId27" display="wise.com" tooltip="https://wise.com/us/send-money/send-money-to-philippines"/>
    <hyperlink ref="L36" r:id="rId28" display="www.remitly.com" tooltip="https://www.remitly.com/us/en/money-transfer/send-money-to-philippines"/>
    <hyperlink ref="L37" r:id="rId29" display="www.worldremit.com" tooltip="https://www.worldremit.com/en/philippines"/>
    <hyperlink ref="L38" r:id="rId30" display="www.xoom.com" tooltip="https://www.xoom.com/philippines/send-money"/>
    <hyperlink ref="L40" r:id="rId31" display="nexaremit.com" tooltip="https://nexaremit.com"/>
    <hyperlink ref="L41" r:id="rId32" display="www.taptapsend.com" tooltip="https://www.taptapsend.com/en"/>
    <hyperlink ref="L42" r:id="rId33" display="wise.com" tooltip="https://wise.com/us/send-money/send-money-to-mexico"/>
    <hyperlink ref="L43" r:id="rId34" display="www.remitly.com" tooltip="https://www.remitly.com/us/en/money-transfer/send-money-to-mexico"/>
    <hyperlink ref="L44" r:id="rId35" display="www.worldremit.com" tooltip="https://www.worldremit.com/en/mexico"/>
    <hyperlink ref="L45" r:id="rId36" display="www.xoom.com" tooltip="https://www.xoom.com/mexico/send-money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3545D28-7935-2068-8D48-2A3AB12B8E9B}" mc:Ignorable="x14ac xr xr2 xr3">
  <dimension ref="A1:GR1000"/>
  <sheetViews>
    <sheetView topLeftCell="A1" workbookViewId="0">
      <pane ySplit="3" topLeftCell="A4" activePane="bottomLeft" state="frozen"/>
      <selection pane="bottomLeft" activeCell="A1" sqref="A1:D1"/>
    </sheetView>
  </sheetViews>
  <sheetFormatPr defaultRowHeight="15" defaultColWidth="8.8515625" customHeight="1"/>
  <cols>
    <col min="1" max="1" width="28.00390625" customWidth="1"/>
    <col min="2" max="2" width="90.00390625" customWidth="1"/>
    <col min="3" max="3" width="14.00390625" customWidth="1"/>
    <col min="4" max="4" width="40.00390625" customWidth="1"/>
  </cols>
  <sheetData>
    <row r="1" ht="21" customHeight="1">
      <c r="A1" s="47" t="s">
        <v>218</v>
      </c>
    </row>
    <row r="3" ht="15" customHeight="1">
      <c r="A3" s="72" t="s">
        <v>219</v>
      </c>
      <c r="B3" s="72" t="s">
        <v>220</v>
      </c>
      <c r="C3" s="72" t="s">
        <v>221</v>
      </c>
      <c r="D3" s="72" t="s">
        <v>113</v>
      </c>
    </row>
    <row r="4" ht="36" customHeight="1">
      <c r="A4" s="73" t="s">
        <v>222</v>
      </c>
      <c r="B4" s="69" t="s">
        <v>223</v>
      </c>
      <c r="C4" s="69" t="s">
        <v>4</v>
      </c>
      <c r="D4" s="69"/>
    </row>
    <row r="5" ht="36" customHeight="1">
      <c r="A5" s="73" t="s">
        <v>224</v>
      </c>
      <c r="B5" s="69" t="s">
        <v>225</v>
      </c>
      <c r="C5" s="69" t="s">
        <v>4</v>
      </c>
      <c r="D5" s="69"/>
    </row>
    <row r="6" ht="36" customHeight="1">
      <c r="A6" s="73" t="s">
        <v>226</v>
      </c>
      <c r="B6" s="69" t="s">
        <v>227</v>
      </c>
      <c r="C6" s="69" t="s">
        <v>4</v>
      </c>
      <c r="D6" s="69"/>
    </row>
    <row r="7" ht="36" customHeight="1">
      <c r="A7" s="73" t="s">
        <v>228</v>
      </c>
      <c r="B7" s="69" t="s">
        <v>229</v>
      </c>
      <c r="C7" s="69" t="s">
        <v>4</v>
      </c>
      <c r="D7" s="69"/>
    </row>
    <row r="8" ht="36" customHeight="1">
      <c r="A8" s="73" t="s">
        <v>230</v>
      </c>
      <c r="B8" s="69" t="s">
        <v>231</v>
      </c>
      <c r="C8" s="69" t="s">
        <v>4</v>
      </c>
      <c r="D8" s="69"/>
    </row>
    <row r="9" ht="36" customHeight="1">
      <c r="A9" s="73" t="s">
        <v>232</v>
      </c>
      <c r="B9" s="69" t="s">
        <v>233</v>
      </c>
      <c r="C9" s="69" t="s">
        <v>4</v>
      </c>
      <c r="D9" s="69"/>
    </row>
    <row r="10" ht="36" customHeight="1">
      <c r="A10" s="73" t="s">
        <v>234</v>
      </c>
      <c r="B10" s="69" t="s">
        <v>235</v>
      </c>
      <c r="C10" s="69" t="s">
        <v>4</v>
      </c>
      <c r="D10" s="69"/>
    </row>
    <row r="11" ht="36" customHeight="1">
      <c r="A11" s="73" t="s">
        <v>123</v>
      </c>
      <c r="B11" s="69" t="s">
        <v>236</v>
      </c>
      <c r="C11" s="69" t="s">
        <v>4</v>
      </c>
      <c r="D11" s="74" t="s">
        <v>237</v>
      </c>
    </row>
    <row r="12" ht="36" customHeight="1">
      <c r="A12" s="73" t="s">
        <v>129</v>
      </c>
      <c r="B12" s="69" t="s">
        <v>238</v>
      </c>
      <c r="C12" s="69" t="s">
        <v>4</v>
      </c>
      <c r="D12" s="74" t="s">
        <v>132</v>
      </c>
    </row>
    <row r="13" ht="36" customHeight="1">
      <c r="A13" s="73" t="s">
        <v>135</v>
      </c>
      <c r="B13" s="69" t="s">
        <v>239</v>
      </c>
      <c r="C13" s="69" t="s">
        <v>4</v>
      </c>
      <c r="D13" s="74" t="s">
        <v>132</v>
      </c>
    </row>
    <row r="14" ht="36" customHeight="1">
      <c r="A14" s="73" t="s">
        <v>141</v>
      </c>
      <c r="B14" s="69" t="s">
        <v>240</v>
      </c>
      <c r="C14" s="69" t="s">
        <v>4</v>
      </c>
      <c r="D14" s="74" t="s">
        <v>144</v>
      </c>
    </row>
    <row r="15" ht="36" customHeight="1">
      <c r="A15" s="73" t="s">
        <v>147</v>
      </c>
      <c r="B15" s="69" t="s">
        <v>241</v>
      </c>
      <c r="C15" s="69" t="s">
        <v>4</v>
      </c>
      <c r="D15" s="74" t="s">
        <v>150</v>
      </c>
    </row>
    <row r="16" ht="36" customHeight="1">
      <c r="A16" s="73" t="s">
        <v>118</v>
      </c>
      <c r="B16" s="69" t="s">
        <v>242</v>
      </c>
      <c r="C16" s="69" t="s">
        <v>4</v>
      </c>
      <c r="D16" s="74" t="s">
        <v>156</v>
      </c>
    </row>
  </sheetData>
  <mergeCells>
    <mergeCell ref="A1:D1"/>
  </mergeCells>
  <hyperlinks>
    <hyperlink ref="D11" r:id="rId1" display="support.taptapsend.com" tooltip="https://support.taptapsend.com/hc/en-gb/articles/45247485548051-Fees-you-pay-sending-with-Taptap-Send"/>
    <hyperlink ref="D12" r:id="rId2" display="wise.com" tooltip="https://wise.com/us/send-money/"/>
    <hyperlink ref="D13" r:id="rId3" display="wise.com" tooltip="https://wise.com/us/blog/remitly-fees"/>
    <hyperlink ref="D14" r:id="rId4" display="www.worldremit.com" tooltip="https://www.worldremit.com/en/full-calculator"/>
    <hyperlink ref="D15" r:id="rId5" display="www.xoom.com" tooltip="https://www.xoom.com/money-transfer-fees"/>
    <hyperlink ref="D16" r:id="rId6" display="nexaremit.com" tooltip="https://nexaremit.com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2982A13-F138-8DA9-959A-E61238F42CEA}" mc:Ignorable="x14ac xr xr2 xr3">
  <dimension ref="A1:GR1000"/>
  <sheetViews>
    <sheetView topLeftCell="A1" workbookViewId="0">
      <pane ySplit="3" topLeftCell="A4" activePane="bottomLeft" state="frozen"/>
      <selection pane="bottomLeft" activeCell="A1" sqref="A1:G1"/>
    </sheetView>
  </sheetViews>
  <sheetFormatPr defaultRowHeight="15" defaultColWidth="8.8515625" customHeight="1"/>
  <cols>
    <col min="1" max="1" width="22.00390625" customWidth="1"/>
    <col min="2" max="2" width="10.00390625" customWidth="1"/>
    <col min="3" max="3" width="22.00390625" customWidth="1"/>
    <col min="4" max="4" width="26.00390625" customWidth="1"/>
    <col min="5" max="5" width="42.00390625" customWidth="1"/>
    <col min="6" max="6" width="44.00390625" customWidth="1"/>
    <col min="7" max="7" width="32.00390625" customWidth="1"/>
  </cols>
  <sheetData>
    <row r="1" ht="21" customHeight="1">
      <c r="A1" s="47" t="s">
        <v>243</v>
      </c>
    </row>
    <row r="2" ht="24" customHeight="1">
      <c r="A2" s="75" t="s">
        <v>244</v>
      </c>
    </row>
    <row r="3" ht="27" customHeight="1">
      <c r="A3" s="28" t="s">
        <v>102</v>
      </c>
      <c r="B3" s="28" t="s">
        <v>245</v>
      </c>
      <c r="C3" s="28" t="s">
        <v>246</v>
      </c>
      <c r="D3" s="28" t="s">
        <v>247</v>
      </c>
      <c r="E3" s="28" t="s">
        <v>248</v>
      </c>
      <c r="F3" s="28" t="s">
        <v>249</v>
      </c>
      <c r="G3" s="28" t="s">
        <v>250</v>
      </c>
    </row>
    <row r="4" ht="36" customHeight="1">
      <c r="A4" s="70" t="s">
        <v>117</v>
      </c>
      <c r="B4" s="70" t="s">
        <v>251</v>
      </c>
      <c r="C4" s="70" t="s">
        <v>252</v>
      </c>
      <c r="D4" s="70" t="s">
        <v>253</v>
      </c>
      <c r="E4" s="70" t="s">
        <v>254</v>
      </c>
      <c r="F4" s="70" t="s">
        <v>255</v>
      </c>
      <c r="G4" s="70" t="s">
        <v>256</v>
      </c>
    </row>
    <row r="5" ht="36" customHeight="1">
      <c r="A5" s="76" t="s">
        <v>154</v>
      </c>
      <c r="B5" s="76" t="s">
        <v>251</v>
      </c>
      <c r="C5" s="76" t="s">
        <v>252</v>
      </c>
      <c r="D5" s="76" t="s">
        <v>253</v>
      </c>
      <c r="E5" s="76" t="s">
        <v>257</v>
      </c>
      <c r="F5" s="76" t="s">
        <v>258</v>
      </c>
      <c r="G5" s="76" t="s">
        <v>259</v>
      </c>
    </row>
    <row r="6" ht="36" customHeight="1">
      <c r="A6" s="70" t="s">
        <v>180</v>
      </c>
      <c r="B6" s="70" t="s">
        <v>251</v>
      </c>
      <c r="C6" s="70" t="s">
        <v>252</v>
      </c>
      <c r="D6" s="70" t="s">
        <v>253</v>
      </c>
      <c r="E6" s="70" t="s">
        <v>260</v>
      </c>
      <c r="F6" s="70" t="s">
        <v>261</v>
      </c>
      <c r="G6" s="70" t="s">
        <v>262</v>
      </c>
    </row>
    <row r="7" ht="36" customHeight="1">
      <c r="A7" s="76" t="s">
        <v>188</v>
      </c>
      <c r="B7" s="76" t="s">
        <v>263</v>
      </c>
      <c r="C7" s="76" t="s">
        <v>264</v>
      </c>
      <c r="D7" s="76" t="s">
        <v>265</v>
      </c>
      <c r="E7" s="76" t="s">
        <v>266</v>
      </c>
      <c r="F7" s="76" t="s">
        <v>267</v>
      </c>
      <c r="G7" s="76" t="s">
        <v>268</v>
      </c>
    </row>
    <row r="8" ht="36" customHeight="1">
      <c r="A8" s="70" t="s">
        <v>198</v>
      </c>
      <c r="B8" s="70" t="s">
        <v>263</v>
      </c>
      <c r="C8" s="70" t="s">
        <v>264</v>
      </c>
      <c r="D8" s="70" t="s">
        <v>265</v>
      </c>
      <c r="E8" s="70" t="s">
        <v>269</v>
      </c>
      <c r="F8" s="70" t="s">
        <v>270</v>
      </c>
      <c r="G8" s="70" t="s">
        <v>271</v>
      </c>
    </row>
    <row r="9" ht="36" customHeight="1">
      <c r="A9" s="76" t="s">
        <v>169</v>
      </c>
      <c r="B9" s="76" t="s">
        <v>263</v>
      </c>
      <c r="C9" s="76" t="s">
        <v>272</v>
      </c>
      <c r="D9" s="76" t="s">
        <v>265</v>
      </c>
      <c r="E9" s="76" t="s">
        <v>273</v>
      </c>
      <c r="F9" s="76" t="s">
        <v>274</v>
      </c>
      <c r="G9" s="76" t="s">
        <v>275</v>
      </c>
    </row>
    <row r="10" ht="36" customHeight="1">
      <c r="A10" s="70" t="s">
        <v>276</v>
      </c>
      <c r="B10" s="70" t="s">
        <v>277</v>
      </c>
      <c r="C10" s="70" t="s">
        <v>277</v>
      </c>
      <c r="D10" s="70" t="s">
        <v>277</v>
      </c>
      <c r="E10" s="70" t="s">
        <v>278</v>
      </c>
      <c r="F10" s="70" t="s">
        <v>279</v>
      </c>
      <c r="G10" s="70" t="s">
        <v>280</v>
      </c>
    </row>
    <row r="13" ht="19.5" customHeight="1">
      <c r="A13" s="67" t="s">
        <v>281</v>
      </c>
    </row>
    <row r="14" ht="24" customHeight="1">
      <c r="A14" s="77" t="s">
        <v>282</v>
      </c>
      <c r="B14" s="78" t="s">
        <v>283</v>
      </c>
    </row>
    <row r="15" ht="24" customHeight="1">
      <c r="A15" s="18" t="s">
        <v>284</v>
      </c>
      <c r="B15" s="17" t="s">
        <v>285</v>
      </c>
    </row>
    <row r="16" ht="24" customHeight="1">
      <c r="A16" s="77" t="s">
        <v>286</v>
      </c>
      <c r="B16" s="78" t="s">
        <v>287</v>
      </c>
    </row>
    <row r="17" ht="24" customHeight="1">
      <c r="A17" s="18" t="s">
        <v>288</v>
      </c>
      <c r="B17" s="17" t="s">
        <v>289</v>
      </c>
    </row>
  </sheetData>
  <mergeCells>
    <mergeCell ref="A1:G1"/>
    <mergeCell ref="A2:G2"/>
    <mergeCell ref="A13:G13"/>
    <mergeCell ref="B14:G14"/>
    <mergeCell ref="B15:G15"/>
    <mergeCell ref="B16:G16"/>
    <mergeCell ref="B17:G17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FB7A188-4C18-D65D-ED38-273B3E4421F8}" mc:Ignorable="x14ac xr xr2 xr3">
  <dimension ref="A1:GR1000"/>
  <sheetViews>
    <sheetView topLeftCell="A1" workbookViewId="0">
      <pane ySplit="3" topLeftCell="A9" activePane="bottomLeft" state="frozen"/>
      <selection pane="bottomLeft" activeCell="A1" sqref="A1:G1"/>
    </sheetView>
  </sheetViews>
  <sheetFormatPr defaultRowHeight="15" defaultColWidth="8.8515625" customHeight="1"/>
  <cols>
    <col min="1" max="1" width="6.8515625" customWidth="1"/>
    <col min="2" max="2" width="37.140625" customWidth="1"/>
    <col min="3" max="4" width="12.8515625" customWidth="1"/>
    <col min="5" max="5" width="60.00390625" customWidth="1"/>
    <col min="6" max="6" width="48.57421875" customWidth="1"/>
    <col min="7" max="7" width="24.28125" customWidth="1"/>
    <col min="8" max="8" width="15.7109375" customWidth="1"/>
  </cols>
  <sheetData>
    <row r="1" ht="21" customHeight="1">
      <c r="A1" s="47" t="s">
        <v>290</v>
      </c>
    </row>
    <row r="2" ht="15" customHeight="1">
      <c r="A2" s="2" t="s">
        <v>291</v>
      </c>
    </row>
    <row r="3" ht="30" customHeight="1">
      <c r="A3" s="16" t="s">
        <v>34</v>
      </c>
      <c r="B3" s="16" t="s">
        <v>35</v>
      </c>
      <c r="C3" s="16" t="s">
        <v>14</v>
      </c>
      <c r="D3" s="16" t="s">
        <v>292</v>
      </c>
      <c r="E3" s="16" t="s">
        <v>293</v>
      </c>
      <c r="F3" s="16" t="s">
        <v>294</v>
      </c>
      <c r="G3" s="16" t="s">
        <v>295</v>
      </c>
      <c r="H3" s="28" t="s">
        <v>40</v>
      </c>
    </row>
    <row r="4" ht="54" customHeight="1">
      <c r="A4" s="79">
        <v>1</v>
      </c>
      <c r="B4" s="80" t="s">
        <v>43</v>
      </c>
      <c r="C4" s="81" t="s">
        <v>44</v>
      </c>
      <c r="D4" s="82" t="s">
        <v>296</v>
      </c>
      <c r="E4" s="80" t="s">
        <v>297</v>
      </c>
      <c r="F4" s="80" t="s">
        <v>298</v>
      </c>
      <c r="G4" s="19" t="s">
        <v>45</v>
      </c>
      <c r="H4" s="82" t="s">
        <v>9</v>
      </c>
    </row>
    <row r="5" ht="54" customHeight="1">
      <c r="A5" s="83">
        <v>2</v>
      </c>
      <c r="B5" s="84" t="s">
        <v>48</v>
      </c>
      <c r="C5" s="81" t="s">
        <v>44</v>
      </c>
      <c r="D5" s="42" t="s">
        <v>299</v>
      </c>
      <c r="E5" s="84" t="s">
        <v>300</v>
      </c>
      <c r="F5" s="84" t="s">
        <v>301</v>
      </c>
      <c r="G5" s="23" t="s">
        <v>49</v>
      </c>
      <c r="H5" s="82" t="s">
        <v>9</v>
      </c>
    </row>
    <row r="6" ht="54" customHeight="1">
      <c r="A6" s="79">
        <v>3</v>
      </c>
      <c r="B6" s="80" t="s">
        <v>50</v>
      </c>
      <c r="C6" s="81" t="s">
        <v>44</v>
      </c>
      <c r="D6" s="42" t="s">
        <v>299</v>
      </c>
      <c r="E6" s="80" t="s">
        <v>302</v>
      </c>
      <c r="F6" s="80" t="s">
        <v>303</v>
      </c>
      <c r="G6" s="19" t="s">
        <v>51</v>
      </c>
      <c r="H6" s="82" t="s">
        <v>9</v>
      </c>
    </row>
    <row r="7" ht="54" customHeight="1">
      <c r="A7" s="83">
        <v>4</v>
      </c>
      <c r="B7" s="84" t="s">
        <v>53</v>
      </c>
      <c r="C7" s="81" t="s">
        <v>44</v>
      </c>
      <c r="D7" s="82" t="s">
        <v>296</v>
      </c>
      <c r="E7" s="84" t="s">
        <v>304</v>
      </c>
      <c r="F7" s="84" t="s">
        <v>305</v>
      </c>
      <c r="G7" s="23" t="s">
        <v>54</v>
      </c>
      <c r="H7" s="82" t="s">
        <v>9</v>
      </c>
    </row>
    <row r="8" ht="54" customHeight="1">
      <c r="A8" s="79">
        <v>5</v>
      </c>
      <c r="B8" s="80" t="s">
        <v>55</v>
      </c>
      <c r="C8" s="81" t="s">
        <v>44</v>
      </c>
      <c r="D8" s="42" t="s">
        <v>299</v>
      </c>
      <c r="E8" s="80" t="s">
        <v>306</v>
      </c>
      <c r="F8" s="80" t="s">
        <v>307</v>
      </c>
      <c r="G8" s="19" t="s">
        <v>56</v>
      </c>
      <c r="H8" s="82" t="s">
        <v>9</v>
      </c>
    </row>
    <row r="9" ht="54" customHeight="1">
      <c r="A9" s="83">
        <v>6</v>
      </c>
      <c r="B9" s="84" t="s">
        <v>57</v>
      </c>
      <c r="C9" s="85" t="s">
        <v>58</v>
      </c>
      <c r="D9" s="82" t="s">
        <v>296</v>
      </c>
      <c r="E9" s="84" t="s">
        <v>308</v>
      </c>
      <c r="F9" s="84" t="s">
        <v>309</v>
      </c>
      <c r="G9" s="23" t="s">
        <v>59</v>
      </c>
      <c r="H9" s="82" t="s">
        <v>9</v>
      </c>
    </row>
    <row r="10" ht="54" customHeight="1">
      <c r="A10" s="79">
        <v>7</v>
      </c>
      <c r="B10" s="80" t="s">
        <v>61</v>
      </c>
      <c r="C10" s="85" t="s">
        <v>58</v>
      </c>
      <c r="D10" s="82" t="s">
        <v>296</v>
      </c>
      <c r="E10" s="80" t="s">
        <v>310</v>
      </c>
      <c r="F10" s="80" t="s">
        <v>311</v>
      </c>
      <c r="G10" s="19" t="s">
        <v>62</v>
      </c>
      <c r="H10" s="82" t="s">
        <v>9</v>
      </c>
    </row>
    <row r="11" ht="54" customHeight="1">
      <c r="A11" s="83">
        <v>8</v>
      </c>
      <c r="B11" s="84" t="s">
        <v>63</v>
      </c>
      <c r="C11" s="85" t="s">
        <v>58</v>
      </c>
      <c r="D11" s="42" t="s">
        <v>299</v>
      </c>
      <c r="E11" s="84" t="s">
        <v>312</v>
      </c>
      <c r="F11" s="84" t="s">
        <v>313</v>
      </c>
      <c r="G11" s="23" t="s">
        <v>64</v>
      </c>
      <c r="H11" s="82" t="s">
        <v>9</v>
      </c>
    </row>
    <row r="12" ht="54" customHeight="1">
      <c r="A12" s="79">
        <v>9</v>
      </c>
      <c r="B12" s="80" t="s">
        <v>65</v>
      </c>
      <c r="C12" s="86" t="s">
        <v>66</v>
      </c>
      <c r="D12" s="42" t="s">
        <v>299</v>
      </c>
      <c r="E12" s="80" t="s">
        <v>314</v>
      </c>
      <c r="F12" s="80" t="s">
        <v>315</v>
      </c>
      <c r="G12" s="19" t="s">
        <v>56</v>
      </c>
      <c r="H12" s="82" t="s">
        <v>9</v>
      </c>
    </row>
    <row r="13" ht="54" customHeight="1">
      <c r="A13" s="83">
        <v>10</v>
      </c>
      <c r="B13" s="84" t="s">
        <v>68</v>
      </c>
      <c r="C13" s="86" t="s">
        <v>66</v>
      </c>
      <c r="D13" s="82" t="s">
        <v>296</v>
      </c>
      <c r="E13" s="84" t="s">
        <v>316</v>
      </c>
      <c r="F13" s="84" t="s">
        <v>317</v>
      </c>
      <c r="G13" s="23" t="s">
        <v>69</v>
      </c>
      <c r="H13" s="82" t="s">
        <v>9</v>
      </c>
    </row>
    <row r="16" ht="18" customHeight="1">
      <c r="A16" s="87" t="s">
        <v>318</v>
      </c>
    </row>
    <row r="17" ht="60" customHeight="1">
      <c r="A17" s="88" t="s">
        <v>319</v>
      </c>
    </row>
  </sheetData>
  <mergeCells>
    <mergeCell ref="A1:G1"/>
    <mergeCell ref="A2:G2"/>
    <mergeCell ref="A16:H16"/>
    <mergeCell ref="A17:H17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B0726C8-8475-F909-3BBD-DACE4DEA830E}" mc:Ignorable="x14ac xr xr2 xr3">
  <dimension ref="A1:GR1000"/>
  <sheetViews>
    <sheetView topLeftCell="A1" workbookViewId="0">
      <pane ySplit="3" topLeftCell="A26" activePane="bottomLeft" state="frozen"/>
      <selection pane="bottomLeft" activeCell="A39" sqref="A39:J39"/>
    </sheetView>
  </sheetViews>
  <sheetFormatPr defaultRowHeight="15" defaultColWidth="8.8515625" customHeight="1"/>
  <cols>
    <col min="1" max="1" width="5.7109375" customWidth="1"/>
    <col min="2" max="2" width="31.421875" customWidth="1"/>
    <col min="3" max="3" width="18.57421875" customWidth="1"/>
    <col min="4" max="5" width="20.00390625" customWidth="1"/>
    <col min="6" max="6" width="18.57421875" customWidth="1"/>
    <col min="7" max="8" width="20.00390625" customWidth="1"/>
    <col min="9" max="9" width="21.421875" customWidth="1"/>
    <col min="10" max="10" width="37.140625" customWidth="1"/>
  </cols>
  <sheetData>
    <row r="1" ht="21" customHeight="1">
      <c r="A1" s="47" t="s">
        <v>320</v>
      </c>
    </row>
    <row r="2" ht="16.5" customHeight="1">
      <c r="A2" s="2" t="s">
        <v>321</v>
      </c>
    </row>
    <row r="4" ht="18" customHeight="1">
      <c r="A4" s="7" t="s">
        <v>322</v>
      </c>
    </row>
    <row r="5" ht="13.5" customHeight="1">
      <c r="A5" s="2" t="s">
        <v>323</v>
      </c>
    </row>
    <row r="6" ht="30" customHeight="1">
      <c r="A6" s="28" t="s">
        <v>34</v>
      </c>
      <c r="B6" s="28" t="s">
        <v>102</v>
      </c>
      <c r="C6" s="28" t="s">
        <v>324</v>
      </c>
      <c r="D6" s="28" t="s">
        <v>325</v>
      </c>
      <c r="E6" s="28" t="s">
        <v>326</v>
      </c>
      <c r="F6" s="28" t="s">
        <v>327</v>
      </c>
      <c r="G6" s="28" t="s">
        <v>328</v>
      </c>
      <c r="H6" s="28" t="s">
        <v>107</v>
      </c>
      <c r="I6" s="28" t="s">
        <v>329</v>
      </c>
      <c r="J6" s="28" t="s">
        <v>330</v>
      </c>
    </row>
    <row r="7" ht="16.5" customHeight="1">
      <c r="A7" s="35">
        <v>1</v>
      </c>
      <c r="B7" s="89" t="s">
        <v>331</v>
      </c>
      <c r="C7" s="35" t="s">
        <v>332</v>
      </c>
      <c r="D7" s="90">
        <v>1650</v>
      </c>
      <c r="E7" s="90">
        <v>1633</v>
      </c>
      <c r="F7" s="91">
        <f t="shared" si="0" ref="F7:F35">(D7-E7)/D7</f>
        <v>0.0103030303030303</v>
      </c>
      <c r="G7" s="92">
        <v>0</v>
      </c>
      <c r="H7" s="93">
        <f t="shared" si="1" ref="H7:H9">(100-G7)*E7</f>
        <v>163300</v>
      </c>
      <c r="I7" s="94">
        <f t="shared" si="2" ref="I7:I9">100+G7</f>
        <v>100</v>
      </c>
      <c r="J7" s="35" t="str">
        <f t="shared" si="3" ref="J7:J9">IF(((D7-E7)/D7*100)-0.35&gt;=0,"OK ≥ $0.35","REVIEW")</f>
        <v>OK ≥ $0.35</v>
      </c>
    </row>
    <row r="8" ht="16.5" customHeight="1">
      <c r="A8" s="35">
        <v>2</v>
      </c>
      <c r="B8" s="89" t="s">
        <v>334</v>
      </c>
      <c r="C8" s="35" t="s">
        <v>335</v>
      </c>
      <c r="D8" s="90">
        <v>15.2</v>
      </c>
      <c r="E8" s="90">
        <v>15.05</v>
      </c>
      <c r="F8" s="91">
        <f t="shared" si="0"/>
        <v>0.00986842105263149</v>
      </c>
      <c r="G8" s="92">
        <v>0</v>
      </c>
      <c r="H8" s="93">
        <f t="shared" si="1"/>
        <v>1505</v>
      </c>
      <c r="I8" s="94">
        <f t="shared" si="2"/>
        <v>100</v>
      </c>
      <c r="J8" s="35" t="str">
        <f t="shared" si="3"/>
        <v>OK ≥ $0.35</v>
      </c>
    </row>
    <row r="9" ht="16.5" customHeight="1">
      <c r="A9" s="35">
        <v>3</v>
      </c>
      <c r="B9" s="89" t="s">
        <v>336</v>
      </c>
      <c r="C9" s="35" t="s">
        <v>337</v>
      </c>
      <c r="D9" s="90">
        <v>128.5</v>
      </c>
      <c r="E9" s="90">
        <v>127.2</v>
      </c>
      <c r="F9" s="91">
        <f t="shared" si="0"/>
        <v>0.0101167315175097</v>
      </c>
      <c r="G9" s="92">
        <v>0</v>
      </c>
      <c r="H9" s="93">
        <f t="shared" si="1"/>
        <v>12720</v>
      </c>
      <c r="I9" s="94">
        <f t="shared" si="2"/>
        <v>100</v>
      </c>
      <c r="J9" s="35" t="str">
        <f t="shared" si="3"/>
        <v>OK ≥ $0.35</v>
      </c>
    </row>
    <row r="10" ht="15" customHeight="1">
      <c r="A10" s="2" t="s">
        <v>338</v>
      </c>
    </row>
    <row r="12" ht="18" customHeight="1">
      <c r="A12" s="7" t="s">
        <v>339</v>
      </c>
    </row>
    <row r="13" ht="13.5" customHeight="1">
      <c r="A13" s="2" t="s">
        <v>340</v>
      </c>
    </row>
    <row r="14" ht="30" customHeight="1">
      <c r="A14" s="28" t="s">
        <v>34</v>
      </c>
      <c r="B14" s="28" t="s">
        <v>103</v>
      </c>
      <c r="C14" s="28" t="s">
        <v>341</v>
      </c>
      <c r="D14" s="28" t="s">
        <v>342</v>
      </c>
      <c r="E14" s="28" t="s">
        <v>343</v>
      </c>
      <c r="F14" s="28" t="s">
        <v>327</v>
      </c>
      <c r="G14" s="28" t="s">
        <v>344</v>
      </c>
      <c r="H14" s="28" t="s">
        <v>345</v>
      </c>
      <c r="I14" s="28" t="s">
        <v>346</v>
      </c>
      <c r="J14" s="28" t="s">
        <v>347</v>
      </c>
    </row>
    <row r="15" ht="16.5" customHeight="1">
      <c r="A15" s="35">
        <v>1</v>
      </c>
      <c r="B15" s="89" t="s">
        <v>348</v>
      </c>
      <c r="C15" s="92">
        <v>0.99</v>
      </c>
      <c r="D15" s="90">
        <v>18.2</v>
      </c>
      <c r="E15" s="90">
        <v>18.02</v>
      </c>
      <c r="F15" s="91">
        <f t="shared" si="0"/>
        <v>0.00989010989010987</v>
      </c>
      <c r="G15" s="93">
        <f t="shared" si="4" ref="G15:G35">(100-C15)*E15</f>
        <v>1784.1602</v>
      </c>
      <c r="H15" s="94">
        <f t="shared" si="5" ref="H15:H35">100+C15</f>
        <v>100.99</v>
      </c>
      <c r="I15" s="94">
        <v>0</v>
      </c>
      <c r="J15" s="89" t="s">
        <v>349</v>
      </c>
    </row>
    <row r="16" ht="16.5" customHeight="1">
      <c r="A16" s="35">
        <v>2</v>
      </c>
      <c r="B16" s="89" t="s">
        <v>350</v>
      </c>
      <c r="C16" s="92">
        <v>1.99</v>
      </c>
      <c r="D16" s="95">
        <f t="shared" si="7" ref="D16:D34">D15</f>
        <v>18.2</v>
      </c>
      <c r="E16" s="90">
        <v>17.82</v>
      </c>
      <c r="F16" s="91">
        <f t="shared" si="0"/>
        <v>0.0208791208791208</v>
      </c>
      <c r="G16" s="93">
        <f t="shared" si="4"/>
        <v>1746.5382</v>
      </c>
      <c r="H16" s="94">
        <f t="shared" si="5"/>
        <v>101.99</v>
      </c>
      <c r="I16" s="94">
        <f t="shared" si="6" ref="I16:I17">H16-$H$15</f>
        <v>1</v>
      </c>
      <c r="J16" s="89" t="str">
        <f>IF(H16&gt;$H$15,"NexaRemit wins","Adjust")</f>
        <v>NexaRemit wins</v>
      </c>
    </row>
    <row r="17" ht="16.5" customHeight="1">
      <c r="A17" s="35">
        <v>3</v>
      </c>
      <c r="B17" s="89" t="s">
        <v>352</v>
      </c>
      <c r="C17" s="92">
        <v>0</v>
      </c>
      <c r="D17" s="95">
        <f t="shared" si="8" ref="D17:D35">D15</f>
        <v>18.2</v>
      </c>
      <c r="E17" s="90">
        <v>17.65</v>
      </c>
      <c r="F17" s="91">
        <f t="shared" si="0"/>
        <v>0.0302197802197803</v>
      </c>
      <c r="G17" s="93">
        <f t="shared" si="4"/>
        <v>1765</v>
      </c>
      <c r="H17" s="94">
        <f t="shared" si="5"/>
        <v>100</v>
      </c>
      <c r="I17" s="94">
        <f t="shared" si="6"/>
        <v>-0.98999999999999</v>
      </c>
      <c r="J17" s="89" t="str">
        <f>IF(H17&gt;$H$15,"NexaRemit wins on FX","Adjust FX")</f>
        <v>Adjust FX</v>
      </c>
    </row>
    <row r="18" ht="16.5" customHeight="1">
      <c r="A18" s="35">
        <v>4</v>
      </c>
      <c r="B18" s="89" t="s">
        <v>354</v>
      </c>
      <c r="C18" s="92"/>
      <c r="D18" s="95">
        <f t="shared" si="9" ref="D18:D36">D15</f>
        <v>18.2</v>
      </c>
      <c r="E18" s="90"/>
      <c r="F18" s="91"/>
      <c r="G18" s="93"/>
      <c r="H18" s="94"/>
      <c r="I18" s="94"/>
      <c r="J18" s="89" t="s">
        <v>355</v>
      </c>
    </row>
    <row r="19" ht="15" customHeight="1">
      <c r="A19" s="2" t="s">
        <v>356</v>
      </c>
    </row>
    <row r="21" ht="18" customHeight="1">
      <c r="A21" s="7" t="s">
        <v>357</v>
      </c>
    </row>
    <row r="22" ht="13.5" customHeight="1">
      <c r="A22" s="2" t="s">
        <v>358</v>
      </c>
    </row>
    <row r="23" ht="30" customHeight="1">
      <c r="A23" s="28" t="s">
        <v>34</v>
      </c>
      <c r="B23" s="28" t="s">
        <v>103</v>
      </c>
      <c r="C23" s="28" t="s">
        <v>341</v>
      </c>
      <c r="D23" s="28" t="s">
        <v>342</v>
      </c>
      <c r="E23" s="28" t="s">
        <v>343</v>
      </c>
      <c r="F23" s="28" t="s">
        <v>327</v>
      </c>
      <c r="G23" s="28" t="s">
        <v>359</v>
      </c>
      <c r="H23" s="28" t="s">
        <v>345</v>
      </c>
      <c r="I23" s="28" t="s">
        <v>346</v>
      </c>
      <c r="J23" s="28" t="s">
        <v>347</v>
      </c>
    </row>
    <row r="24" ht="16.5" customHeight="1">
      <c r="A24" s="35">
        <v>1</v>
      </c>
      <c r="B24" s="89" t="s">
        <v>348</v>
      </c>
      <c r="C24" s="92">
        <v>0.99</v>
      </c>
      <c r="D24" s="96">
        <v>57.8</v>
      </c>
      <c r="E24" s="90">
        <v>57.37</v>
      </c>
      <c r="F24" s="91">
        <f t="shared" si="0"/>
        <v>0.007439446366782</v>
      </c>
      <c r="G24" s="93">
        <f t="shared" si="4"/>
        <v>5680.2037</v>
      </c>
      <c r="H24" s="94">
        <f t="shared" si="5"/>
        <v>100.99</v>
      </c>
      <c r="I24" s="94">
        <v>0</v>
      </c>
      <c r="J24" s="89" t="s">
        <v>349</v>
      </c>
    </row>
    <row r="25" ht="16.5" customHeight="1">
      <c r="A25" s="35">
        <v>2</v>
      </c>
      <c r="B25" s="89" t="s">
        <v>352</v>
      </c>
      <c r="C25" s="92">
        <v>0</v>
      </c>
      <c r="D25" s="95">
        <f t="shared" si="7"/>
        <v>57.8</v>
      </c>
      <c r="E25" s="90">
        <v>56.4</v>
      </c>
      <c r="F25" s="91">
        <f t="shared" si="0"/>
        <v>0.0242214532871972</v>
      </c>
      <c r="G25" s="93">
        <f t="shared" si="4"/>
        <v>5640</v>
      </c>
      <c r="H25" s="94">
        <f t="shared" si="5"/>
        <v>100</v>
      </c>
      <c r="I25" s="94">
        <f>H25-$H$24</f>
        <v>-0.98999999999999</v>
      </c>
      <c r="J25" s="89" t="str">
        <f>IF(G24&gt;G25,"NexaRemit wins (more PHP delivered)","Tighten FX")</f>
        <v>NexaRemit wins (more PHP delivered)</v>
      </c>
    </row>
    <row r="26" ht="16.5" customHeight="1">
      <c r="A26" s="35">
        <v>3</v>
      </c>
      <c r="B26" s="89" t="s">
        <v>354</v>
      </c>
      <c r="C26" s="94"/>
      <c r="D26" s="95">
        <f t="shared" si="8"/>
        <v>57.8</v>
      </c>
      <c r="E26" s="97"/>
      <c r="F26" s="91"/>
      <c r="G26" s="93"/>
      <c r="H26" s="94"/>
      <c r="I26" s="94"/>
      <c r="J26" s="89" t="s">
        <v>361</v>
      </c>
    </row>
    <row r="27" ht="16.5" customHeight="1">
      <c r="A27" s="35">
        <v>4</v>
      </c>
      <c r="B27" s="89" t="s">
        <v>350</v>
      </c>
      <c r="C27" s="94"/>
      <c r="D27" s="95">
        <f t="shared" si="9"/>
        <v>57.8</v>
      </c>
      <c r="E27" s="97"/>
      <c r="F27" s="91"/>
      <c r="G27" s="93"/>
      <c r="H27" s="94"/>
      <c r="I27" s="94"/>
      <c r="J27" s="89" t="s">
        <v>361</v>
      </c>
    </row>
    <row r="28" ht="15" customHeight="1">
      <c r="A28" s="2" t="s">
        <v>362</v>
      </c>
    </row>
    <row r="30" ht="18" customHeight="1">
      <c r="A30" s="7" t="s">
        <v>363</v>
      </c>
    </row>
    <row r="31" ht="13.5" customHeight="1">
      <c r="A31" s="2" t="s">
        <v>364</v>
      </c>
    </row>
    <row r="32" ht="30" customHeight="1">
      <c r="A32" s="28" t="s">
        <v>34</v>
      </c>
      <c r="B32" s="28" t="s">
        <v>103</v>
      </c>
      <c r="C32" s="28" t="s">
        <v>341</v>
      </c>
      <c r="D32" s="28" t="s">
        <v>342</v>
      </c>
      <c r="E32" s="28" t="s">
        <v>343</v>
      </c>
      <c r="F32" s="28" t="s">
        <v>327</v>
      </c>
      <c r="G32" s="28" t="s">
        <v>365</v>
      </c>
      <c r="H32" s="28" t="s">
        <v>345</v>
      </c>
      <c r="I32" s="28" t="s">
        <v>366</v>
      </c>
      <c r="J32" s="28" t="s">
        <v>347</v>
      </c>
    </row>
    <row r="33" ht="16.5" customHeight="1">
      <c r="A33" s="35">
        <v>1</v>
      </c>
      <c r="B33" s="89" t="s">
        <v>348</v>
      </c>
      <c r="C33" s="92">
        <v>1.49</v>
      </c>
      <c r="D33" s="96">
        <v>83.2</v>
      </c>
      <c r="E33" s="90">
        <v>82.37</v>
      </c>
      <c r="F33" s="91">
        <f t="shared" si="0"/>
        <v>0.00997596153846152</v>
      </c>
      <c r="G33" s="93">
        <f t="shared" si="4"/>
        <v>8114.2687</v>
      </c>
      <c r="H33" s="94">
        <f t="shared" si="5"/>
        <v>101.49</v>
      </c>
      <c r="I33" s="91">
        <f t="shared" si="10" ref="I33:I35">(C33+(D33-E33)/D33*100)/100</f>
        <v>0.0248759615384615</v>
      </c>
      <c r="J33" s="89" t="s">
        <v>349</v>
      </c>
    </row>
    <row r="34" ht="16.5" customHeight="1">
      <c r="A34" s="35">
        <v>2</v>
      </c>
      <c r="B34" s="89" t="s">
        <v>367</v>
      </c>
      <c r="C34" s="92">
        <v>0.3</v>
      </c>
      <c r="D34" s="95">
        <f t="shared" si="7"/>
        <v>83.2</v>
      </c>
      <c r="E34" s="97">
        <f>D33*(1-0.025)</f>
        <v>81.12</v>
      </c>
      <c r="F34" s="91">
        <f t="shared" si="0"/>
        <v>0.025</v>
      </c>
      <c r="G34" s="93">
        <f t="shared" si="4"/>
        <v>8087.664</v>
      </c>
      <c r="H34" s="94">
        <f t="shared" si="5"/>
        <v>100.3</v>
      </c>
      <c r="I34" s="91">
        <f t="shared" si="10"/>
        <v>0.028</v>
      </c>
      <c r="J34" s="89" t="str">
        <f>IF(I33&lt;I34,"NexaRemit wins on all-in %","Tighten fee or FX")</f>
        <v>NexaRemit wins on all-in %</v>
      </c>
    </row>
    <row r="35" ht="16.5" customHeight="1">
      <c r="A35" s="35">
        <v>3</v>
      </c>
      <c r="B35" s="89" t="s">
        <v>369</v>
      </c>
      <c r="C35" s="92">
        <v>0.3</v>
      </c>
      <c r="D35" s="95">
        <f t="shared" si="8"/>
        <v>83.2</v>
      </c>
      <c r="E35" s="97">
        <f>D33*(1-0.04)</f>
        <v>79.872</v>
      </c>
      <c r="F35" s="91">
        <f t="shared" si="0"/>
        <v>0.04</v>
      </c>
      <c r="G35" s="93">
        <f t="shared" si="4"/>
        <v>7963.2384</v>
      </c>
      <c r="H35" s="94">
        <f t="shared" si="5"/>
        <v>100.3</v>
      </c>
      <c r="I35" s="91">
        <f t="shared" si="10"/>
        <v>0.043</v>
      </c>
      <c r="J35" s="89" t="str">
        <f>IF(I33&lt;I35,"NexaRemit wins on all-in %","Tighten fee or FX")</f>
        <v>NexaRemit wins on all-in %</v>
      </c>
    </row>
    <row r="36" ht="16.5" customHeight="1">
      <c r="A36" s="35">
        <v>4</v>
      </c>
      <c r="B36" s="89" t="s">
        <v>354</v>
      </c>
      <c r="C36" s="94"/>
      <c r="D36" s="95">
        <f t="shared" si="9"/>
        <v>83.2</v>
      </c>
      <c r="E36" s="97"/>
      <c r="F36" s="91"/>
      <c r="G36" s="93"/>
      <c r="H36" s="94"/>
      <c r="I36" s="91"/>
      <c r="J36" s="89" t="s">
        <v>361</v>
      </c>
    </row>
    <row r="37" ht="15" customHeight="1">
      <c r="A37" s="2" t="s">
        <v>370</v>
      </c>
    </row>
    <row r="39" ht="18" customHeight="1">
      <c r="A39" s="7" t="s">
        <v>371</v>
      </c>
    </row>
    <row r="40" ht="16.5" customHeight="1">
      <c r="A40" s="2" t="s">
        <v>372</v>
      </c>
    </row>
    <row r="41" ht="30" customHeight="1">
      <c r="A41" s="28" t="s">
        <v>34</v>
      </c>
      <c r="B41" s="28" t="s">
        <v>373</v>
      </c>
      <c r="C41" s="28" t="s">
        <v>102</v>
      </c>
      <c r="D41" s="28" t="s">
        <v>103</v>
      </c>
      <c r="E41" s="28" t="s">
        <v>341</v>
      </c>
      <c r="F41" s="28" t="s">
        <v>374</v>
      </c>
      <c r="G41" s="28" t="s">
        <v>325</v>
      </c>
      <c r="H41" s="28" t="s">
        <v>327</v>
      </c>
      <c r="I41" s="28" t="s">
        <v>375</v>
      </c>
      <c r="J41" s="28" t="s">
        <v>376</v>
      </c>
    </row>
    <row r="42" ht="15" customHeight="1">
      <c r="A42" s="98">
        <v>1</v>
      </c>
      <c r="B42" s="98" t="s">
        <v>4</v>
      </c>
      <c r="C42" s="99" t="s">
        <v>331</v>
      </c>
      <c r="D42" s="99" t="s">
        <v>118</v>
      </c>
      <c r="E42" s="100"/>
      <c r="F42" s="101"/>
      <c r="G42" s="101"/>
      <c r="H42" s="102" t="str">
        <f t="shared" si="11" ref="H42:H77">IF(AND(ISNUMBER(F42),ISNUMBER(G42),G42&lt;&gt;0),(G42-F42)/G42,"")</f>
        <v/>
      </c>
      <c r="I42" s="103" t="str">
        <f t="shared" si="12" ref="I42:I77">IF(AND(ISNUMBER(E42),ISNUMBER(F42),ISNUMBER(G42),G42&lt;&gt;0),E42+((G42-F42)/G42)*100,"")</f>
        <v/>
      </c>
      <c r="J42" s="104"/>
    </row>
    <row r="43" ht="15" customHeight="1">
      <c r="A43" s="98">
        <v>2</v>
      </c>
      <c r="B43" s="98"/>
      <c r="C43" s="99" t="s">
        <v>331</v>
      </c>
      <c r="D43" s="99" t="s">
        <v>123</v>
      </c>
      <c r="E43" s="100"/>
      <c r="F43" s="101"/>
      <c r="G43" s="101"/>
      <c r="H43" s="102" t="str">
        <f t="shared" si="11"/>
        <v/>
      </c>
      <c r="I43" s="103" t="str">
        <f t="shared" si="12"/>
        <v/>
      </c>
      <c r="J43" s="104"/>
    </row>
    <row r="44" ht="15" customHeight="1">
      <c r="A44" s="98">
        <v>3</v>
      </c>
      <c r="B44" s="98"/>
      <c r="C44" s="99" t="s">
        <v>331</v>
      </c>
      <c r="D44" s="99" t="s">
        <v>129</v>
      </c>
      <c r="E44" s="100"/>
      <c r="F44" s="101"/>
      <c r="G44" s="101"/>
      <c r="H44" s="102" t="str">
        <f t="shared" si="11"/>
        <v/>
      </c>
      <c r="I44" s="103" t="str">
        <f t="shared" si="12"/>
        <v/>
      </c>
      <c r="J44" s="104"/>
    </row>
    <row r="45" ht="15" customHeight="1">
      <c r="A45" s="98">
        <v>4</v>
      </c>
      <c r="B45" s="98"/>
      <c r="C45" s="99" t="s">
        <v>331</v>
      </c>
      <c r="D45" s="99" t="s">
        <v>135</v>
      </c>
      <c r="E45" s="100"/>
      <c r="F45" s="101"/>
      <c r="G45" s="101"/>
      <c r="H45" s="102" t="str">
        <f t="shared" si="11"/>
        <v/>
      </c>
      <c r="I45" s="103" t="str">
        <f t="shared" si="12"/>
        <v/>
      </c>
      <c r="J45" s="104"/>
    </row>
    <row r="46" ht="15" customHeight="1">
      <c r="A46" s="98">
        <v>5</v>
      </c>
      <c r="B46" s="98"/>
      <c r="C46" s="99" t="s">
        <v>331</v>
      </c>
      <c r="D46" s="99" t="s">
        <v>141</v>
      </c>
      <c r="E46" s="100"/>
      <c r="F46" s="101"/>
      <c r="G46" s="101"/>
      <c r="H46" s="102" t="str">
        <f t="shared" si="11"/>
        <v/>
      </c>
      <c r="I46" s="103" t="str">
        <f t="shared" si="12"/>
        <v/>
      </c>
      <c r="J46" s="104"/>
    </row>
    <row r="47" ht="15" customHeight="1">
      <c r="A47" s="98">
        <v>6</v>
      </c>
      <c r="B47" s="98"/>
      <c r="C47" s="99" t="s">
        <v>331</v>
      </c>
      <c r="D47" s="99" t="s">
        <v>147</v>
      </c>
      <c r="E47" s="100"/>
      <c r="F47" s="101"/>
      <c r="G47" s="101"/>
      <c r="H47" s="102" t="str">
        <f t="shared" si="11"/>
        <v/>
      </c>
      <c r="I47" s="103" t="str">
        <f t="shared" si="12"/>
        <v/>
      </c>
      <c r="J47" s="104"/>
    </row>
    <row r="48" ht="15" customHeight="1">
      <c r="A48" s="105">
        <v>7</v>
      </c>
      <c r="B48" s="105"/>
      <c r="C48" s="104" t="s">
        <v>334</v>
      </c>
      <c r="D48" s="104" t="s">
        <v>118</v>
      </c>
      <c r="E48" s="100"/>
      <c r="F48" s="101"/>
      <c r="G48" s="101"/>
      <c r="H48" s="102" t="str">
        <f t="shared" si="11"/>
        <v/>
      </c>
      <c r="I48" s="103" t="str">
        <f t="shared" si="12"/>
        <v/>
      </c>
      <c r="J48" s="104"/>
    </row>
    <row r="49" ht="15" customHeight="1">
      <c r="A49" s="105">
        <v>8</v>
      </c>
      <c r="B49" s="105"/>
      <c r="C49" s="104" t="s">
        <v>334</v>
      </c>
      <c r="D49" s="104" t="s">
        <v>123</v>
      </c>
      <c r="E49" s="100"/>
      <c r="F49" s="101"/>
      <c r="G49" s="101"/>
      <c r="H49" s="102" t="str">
        <f t="shared" si="11"/>
        <v/>
      </c>
      <c r="I49" s="103" t="str">
        <f t="shared" si="12"/>
        <v/>
      </c>
      <c r="J49" s="104"/>
    </row>
    <row r="50" ht="15" customHeight="1">
      <c r="A50" s="105">
        <v>9</v>
      </c>
      <c r="B50" s="105"/>
      <c r="C50" s="104" t="s">
        <v>334</v>
      </c>
      <c r="D50" s="104" t="s">
        <v>129</v>
      </c>
      <c r="E50" s="100"/>
      <c r="F50" s="101"/>
      <c r="G50" s="101"/>
      <c r="H50" s="102" t="str">
        <f t="shared" si="11"/>
        <v/>
      </c>
      <c r="I50" s="103" t="str">
        <f t="shared" si="12"/>
        <v/>
      </c>
      <c r="J50" s="104"/>
    </row>
    <row r="51" ht="15" customHeight="1">
      <c r="A51" s="105">
        <v>10</v>
      </c>
      <c r="B51" s="105"/>
      <c r="C51" s="104" t="s">
        <v>334</v>
      </c>
      <c r="D51" s="104" t="s">
        <v>135</v>
      </c>
      <c r="E51" s="100"/>
      <c r="F51" s="101"/>
      <c r="G51" s="101"/>
      <c r="H51" s="102" t="str">
        <f t="shared" si="11"/>
        <v/>
      </c>
      <c r="I51" s="103" t="str">
        <f t="shared" si="12"/>
        <v/>
      </c>
      <c r="J51" s="104"/>
    </row>
    <row r="52" ht="15" customHeight="1">
      <c r="A52" s="105">
        <v>11</v>
      </c>
      <c r="B52" s="105"/>
      <c r="C52" s="104" t="s">
        <v>334</v>
      </c>
      <c r="D52" s="104" t="s">
        <v>141</v>
      </c>
      <c r="E52" s="100"/>
      <c r="F52" s="101"/>
      <c r="G52" s="101"/>
      <c r="H52" s="102" t="str">
        <f t="shared" si="11"/>
        <v/>
      </c>
      <c r="I52" s="103" t="str">
        <f t="shared" si="12"/>
        <v/>
      </c>
      <c r="J52" s="104"/>
    </row>
    <row r="53" ht="15" customHeight="1">
      <c r="A53" s="105">
        <v>12</v>
      </c>
      <c r="B53" s="105"/>
      <c r="C53" s="104" t="s">
        <v>334</v>
      </c>
      <c r="D53" s="104" t="s">
        <v>147</v>
      </c>
      <c r="E53" s="100"/>
      <c r="F53" s="101"/>
      <c r="G53" s="101"/>
      <c r="H53" s="102" t="str">
        <f t="shared" si="11"/>
        <v/>
      </c>
      <c r="I53" s="103" t="str">
        <f t="shared" si="12"/>
        <v/>
      </c>
      <c r="J53" s="104"/>
    </row>
    <row r="54" ht="15" customHeight="1">
      <c r="A54" s="106">
        <v>13</v>
      </c>
      <c r="B54" s="106"/>
      <c r="C54" s="107" t="s">
        <v>378</v>
      </c>
      <c r="D54" s="107" t="s">
        <v>118</v>
      </c>
      <c r="E54" s="100"/>
      <c r="F54" s="101"/>
      <c r="G54" s="101"/>
      <c r="H54" s="102" t="str">
        <f t="shared" si="11"/>
        <v/>
      </c>
      <c r="I54" s="103" t="str">
        <f t="shared" si="12"/>
        <v/>
      </c>
      <c r="J54" s="104"/>
    </row>
    <row r="55" ht="15" customHeight="1">
      <c r="A55" s="106">
        <v>14</v>
      </c>
      <c r="B55" s="106"/>
      <c r="C55" s="107" t="s">
        <v>378</v>
      </c>
      <c r="D55" s="107" t="s">
        <v>123</v>
      </c>
      <c r="E55" s="100"/>
      <c r="F55" s="101"/>
      <c r="G55" s="101"/>
      <c r="H55" s="102" t="str">
        <f t="shared" si="11"/>
        <v/>
      </c>
      <c r="I55" s="103" t="str">
        <f t="shared" si="12"/>
        <v/>
      </c>
      <c r="J55" s="104"/>
    </row>
    <row r="56" ht="15" customHeight="1">
      <c r="A56" s="106">
        <v>15</v>
      </c>
      <c r="B56" s="106"/>
      <c r="C56" s="107" t="s">
        <v>378</v>
      </c>
      <c r="D56" s="107" t="s">
        <v>129</v>
      </c>
      <c r="E56" s="100"/>
      <c r="F56" s="101"/>
      <c r="G56" s="101"/>
      <c r="H56" s="102" t="str">
        <f t="shared" si="11"/>
        <v/>
      </c>
      <c r="I56" s="103" t="str">
        <f t="shared" si="12"/>
        <v/>
      </c>
      <c r="J56" s="104"/>
    </row>
    <row r="57" ht="15" customHeight="1">
      <c r="A57" s="106">
        <v>16</v>
      </c>
      <c r="B57" s="106"/>
      <c r="C57" s="107" t="s">
        <v>378</v>
      </c>
      <c r="D57" s="107" t="s">
        <v>135</v>
      </c>
      <c r="E57" s="100"/>
      <c r="F57" s="101"/>
      <c r="G57" s="101"/>
      <c r="H57" s="102" t="str">
        <f t="shared" si="11"/>
        <v/>
      </c>
      <c r="I57" s="103" t="str">
        <f t="shared" si="12"/>
        <v/>
      </c>
      <c r="J57" s="104"/>
    </row>
    <row r="58" ht="15" customHeight="1">
      <c r="A58" s="106">
        <v>17</v>
      </c>
      <c r="B58" s="106"/>
      <c r="C58" s="107" t="s">
        <v>378</v>
      </c>
      <c r="D58" s="107" t="s">
        <v>141</v>
      </c>
      <c r="E58" s="100"/>
      <c r="F58" s="101"/>
      <c r="G58" s="101"/>
      <c r="H58" s="102" t="str">
        <f t="shared" si="11"/>
        <v/>
      </c>
      <c r="I58" s="103" t="str">
        <f t="shared" si="12"/>
        <v/>
      </c>
      <c r="J58" s="104"/>
    </row>
    <row r="59" ht="15" customHeight="1">
      <c r="A59" s="106">
        <v>18</v>
      </c>
      <c r="B59" s="106"/>
      <c r="C59" s="107" t="s">
        <v>378</v>
      </c>
      <c r="D59" s="107" t="s">
        <v>147</v>
      </c>
      <c r="E59" s="100"/>
      <c r="F59" s="101"/>
      <c r="G59" s="101"/>
      <c r="H59" s="102" t="str">
        <f t="shared" si="11"/>
        <v/>
      </c>
      <c r="I59" s="103" t="str">
        <f t="shared" si="12"/>
        <v/>
      </c>
      <c r="J59" s="104"/>
    </row>
    <row r="60" ht="15" customHeight="1">
      <c r="A60" s="108">
        <v>19</v>
      </c>
      <c r="B60" s="108"/>
      <c r="C60" s="109" t="s">
        <v>336</v>
      </c>
      <c r="D60" s="109" t="s">
        <v>118</v>
      </c>
      <c r="E60" s="100"/>
      <c r="F60" s="101"/>
      <c r="G60" s="101"/>
      <c r="H60" s="102" t="str">
        <f t="shared" si="11"/>
        <v/>
      </c>
      <c r="I60" s="103" t="str">
        <f t="shared" si="12"/>
        <v/>
      </c>
      <c r="J60" s="104"/>
    </row>
    <row r="61" ht="15" customHeight="1">
      <c r="A61" s="108">
        <v>20</v>
      </c>
      <c r="B61" s="108"/>
      <c r="C61" s="109" t="s">
        <v>336</v>
      </c>
      <c r="D61" s="109" t="s">
        <v>123</v>
      </c>
      <c r="E61" s="100"/>
      <c r="F61" s="101"/>
      <c r="G61" s="101"/>
      <c r="H61" s="102" t="str">
        <f t="shared" si="11"/>
        <v/>
      </c>
      <c r="I61" s="103" t="str">
        <f t="shared" si="12"/>
        <v/>
      </c>
      <c r="J61" s="104"/>
    </row>
    <row r="62" ht="15" customHeight="1">
      <c r="A62" s="108">
        <v>21</v>
      </c>
      <c r="B62" s="108"/>
      <c r="C62" s="109" t="s">
        <v>336</v>
      </c>
      <c r="D62" s="109" t="s">
        <v>129</v>
      </c>
      <c r="E62" s="100"/>
      <c r="F62" s="101"/>
      <c r="G62" s="101"/>
      <c r="H62" s="102" t="str">
        <f t="shared" si="11"/>
        <v/>
      </c>
      <c r="I62" s="103" t="str">
        <f t="shared" si="12"/>
        <v/>
      </c>
      <c r="J62" s="104"/>
    </row>
    <row r="63" ht="15" customHeight="1">
      <c r="A63" s="108">
        <v>22</v>
      </c>
      <c r="B63" s="108"/>
      <c r="C63" s="109" t="s">
        <v>336</v>
      </c>
      <c r="D63" s="109" t="s">
        <v>135</v>
      </c>
      <c r="E63" s="100"/>
      <c r="F63" s="101"/>
      <c r="G63" s="101"/>
      <c r="H63" s="102" t="str">
        <f t="shared" si="11"/>
        <v/>
      </c>
      <c r="I63" s="103" t="str">
        <f t="shared" si="12"/>
        <v/>
      </c>
      <c r="J63" s="104"/>
    </row>
    <row r="64" ht="15" customHeight="1">
      <c r="A64" s="108">
        <v>23</v>
      </c>
      <c r="B64" s="108"/>
      <c r="C64" s="109" t="s">
        <v>336</v>
      </c>
      <c r="D64" s="109" t="s">
        <v>141</v>
      </c>
      <c r="E64" s="100"/>
      <c r="F64" s="101"/>
      <c r="G64" s="101"/>
      <c r="H64" s="102" t="str">
        <f t="shared" si="11"/>
        <v/>
      </c>
      <c r="I64" s="103" t="str">
        <f t="shared" si="12"/>
        <v/>
      </c>
      <c r="J64" s="104"/>
    </row>
    <row r="65" ht="15" customHeight="1">
      <c r="A65" s="108">
        <v>24</v>
      </c>
      <c r="B65" s="108"/>
      <c r="C65" s="109" t="s">
        <v>336</v>
      </c>
      <c r="D65" s="109" t="s">
        <v>147</v>
      </c>
      <c r="E65" s="100"/>
      <c r="F65" s="101"/>
      <c r="G65" s="101"/>
      <c r="H65" s="102" t="str">
        <f t="shared" si="11"/>
        <v/>
      </c>
      <c r="I65" s="103" t="str">
        <f t="shared" si="12"/>
        <v/>
      </c>
      <c r="J65" s="104"/>
    </row>
    <row r="66" ht="15" customHeight="1">
      <c r="A66" s="110">
        <v>25</v>
      </c>
      <c r="B66" s="110"/>
      <c r="C66" s="111" t="s">
        <v>379</v>
      </c>
      <c r="D66" s="111" t="s">
        <v>118</v>
      </c>
      <c r="E66" s="100"/>
      <c r="F66" s="101"/>
      <c r="G66" s="101"/>
      <c r="H66" s="102" t="str">
        <f t="shared" si="11"/>
        <v/>
      </c>
      <c r="I66" s="103" t="str">
        <f t="shared" si="12"/>
        <v/>
      </c>
      <c r="J66" s="104"/>
    </row>
    <row r="67" ht="15" customHeight="1">
      <c r="A67" s="110">
        <v>26</v>
      </c>
      <c r="B67" s="110"/>
      <c r="C67" s="111" t="s">
        <v>379</v>
      </c>
      <c r="D67" s="111" t="s">
        <v>123</v>
      </c>
      <c r="E67" s="100"/>
      <c r="F67" s="101"/>
      <c r="G67" s="101"/>
      <c r="H67" s="102" t="str">
        <f t="shared" si="11"/>
        <v/>
      </c>
      <c r="I67" s="103" t="str">
        <f t="shared" si="12"/>
        <v/>
      </c>
      <c r="J67" s="104"/>
    </row>
    <row r="68" ht="15" customHeight="1">
      <c r="A68" s="110">
        <v>27</v>
      </c>
      <c r="B68" s="110"/>
      <c r="C68" s="111" t="s">
        <v>379</v>
      </c>
      <c r="D68" s="111" t="s">
        <v>129</v>
      </c>
      <c r="E68" s="100"/>
      <c r="F68" s="101"/>
      <c r="G68" s="101"/>
      <c r="H68" s="102" t="str">
        <f t="shared" si="11"/>
        <v/>
      </c>
      <c r="I68" s="103" t="str">
        <f t="shared" si="12"/>
        <v/>
      </c>
      <c r="J68" s="104"/>
    </row>
    <row r="69" ht="15" customHeight="1">
      <c r="A69" s="110">
        <v>28</v>
      </c>
      <c r="B69" s="110"/>
      <c r="C69" s="111" t="s">
        <v>379</v>
      </c>
      <c r="D69" s="111" t="s">
        <v>135</v>
      </c>
      <c r="E69" s="100"/>
      <c r="F69" s="101"/>
      <c r="G69" s="101"/>
      <c r="H69" s="102" t="str">
        <f t="shared" si="11"/>
        <v/>
      </c>
      <c r="I69" s="103" t="str">
        <f t="shared" si="12"/>
        <v/>
      </c>
      <c r="J69" s="104"/>
    </row>
    <row r="70" ht="15" customHeight="1">
      <c r="A70" s="110">
        <v>29</v>
      </c>
      <c r="B70" s="110"/>
      <c r="C70" s="111" t="s">
        <v>379</v>
      </c>
      <c r="D70" s="111" t="s">
        <v>141</v>
      </c>
      <c r="E70" s="100"/>
      <c r="F70" s="101"/>
      <c r="G70" s="101"/>
      <c r="H70" s="102" t="str">
        <f t="shared" si="11"/>
        <v/>
      </c>
      <c r="I70" s="103" t="str">
        <f t="shared" si="12"/>
        <v/>
      </c>
      <c r="J70" s="104"/>
    </row>
    <row r="71" ht="15" customHeight="1">
      <c r="A71" s="110">
        <v>30</v>
      </c>
      <c r="B71" s="110"/>
      <c r="C71" s="111" t="s">
        <v>379</v>
      </c>
      <c r="D71" s="111" t="s">
        <v>147</v>
      </c>
      <c r="E71" s="100"/>
      <c r="F71" s="101"/>
      <c r="G71" s="101"/>
      <c r="H71" s="102" t="str">
        <f t="shared" si="11"/>
        <v/>
      </c>
      <c r="I71" s="103" t="str">
        <f t="shared" si="12"/>
        <v/>
      </c>
      <c r="J71" s="104"/>
    </row>
    <row r="72" ht="15" customHeight="1">
      <c r="A72" s="112">
        <v>31</v>
      </c>
      <c r="B72" s="112"/>
      <c r="C72" s="113" t="s">
        <v>380</v>
      </c>
      <c r="D72" s="113" t="s">
        <v>118</v>
      </c>
      <c r="E72" s="100"/>
      <c r="F72" s="101"/>
      <c r="G72" s="101"/>
      <c r="H72" s="102" t="str">
        <f t="shared" si="11"/>
        <v/>
      </c>
      <c r="I72" s="103" t="str">
        <f t="shared" si="12"/>
        <v/>
      </c>
      <c r="J72" s="104"/>
    </row>
    <row r="73" ht="15" customHeight="1">
      <c r="A73" s="112">
        <v>32</v>
      </c>
      <c r="B73" s="112"/>
      <c r="C73" s="113" t="s">
        <v>380</v>
      </c>
      <c r="D73" s="113" t="s">
        <v>123</v>
      </c>
      <c r="E73" s="100"/>
      <c r="F73" s="101"/>
      <c r="G73" s="101"/>
      <c r="H73" s="102" t="str">
        <f t="shared" si="11"/>
        <v/>
      </c>
      <c r="I73" s="103" t="str">
        <f t="shared" si="12"/>
        <v/>
      </c>
      <c r="J73" s="104"/>
    </row>
    <row r="74" ht="15" customHeight="1">
      <c r="A74" s="112">
        <v>33</v>
      </c>
      <c r="B74" s="112"/>
      <c r="C74" s="113" t="s">
        <v>380</v>
      </c>
      <c r="D74" s="113" t="s">
        <v>129</v>
      </c>
      <c r="E74" s="100"/>
      <c r="F74" s="101"/>
      <c r="G74" s="101"/>
      <c r="H74" s="102" t="str">
        <f t="shared" si="11"/>
        <v/>
      </c>
      <c r="I74" s="103" t="str">
        <f t="shared" si="12"/>
        <v/>
      </c>
      <c r="J74" s="104"/>
    </row>
    <row r="75" ht="15" customHeight="1">
      <c r="A75" s="112">
        <v>34</v>
      </c>
      <c r="B75" s="112"/>
      <c r="C75" s="113" t="s">
        <v>380</v>
      </c>
      <c r="D75" s="113" t="s">
        <v>135</v>
      </c>
      <c r="E75" s="100"/>
      <c r="F75" s="101"/>
      <c r="G75" s="101"/>
      <c r="H75" s="102" t="str">
        <f t="shared" si="11"/>
        <v/>
      </c>
      <c r="I75" s="103" t="str">
        <f t="shared" si="12"/>
        <v/>
      </c>
      <c r="J75" s="104"/>
    </row>
    <row r="76" ht="15" customHeight="1">
      <c r="A76" s="112">
        <v>35</v>
      </c>
      <c r="B76" s="112"/>
      <c r="C76" s="113" t="s">
        <v>380</v>
      </c>
      <c r="D76" s="113" t="s">
        <v>141</v>
      </c>
      <c r="E76" s="100"/>
      <c r="F76" s="101"/>
      <c r="G76" s="101"/>
      <c r="H76" s="102" t="str">
        <f t="shared" si="11"/>
        <v/>
      </c>
      <c r="I76" s="103" t="str">
        <f t="shared" si="12"/>
        <v/>
      </c>
      <c r="J76" s="104"/>
    </row>
    <row r="77" ht="15" customHeight="1">
      <c r="A77" s="112">
        <v>36</v>
      </c>
      <c r="B77" s="112"/>
      <c r="C77" s="113" t="s">
        <v>380</v>
      </c>
      <c r="D77" s="113" t="s">
        <v>147</v>
      </c>
      <c r="E77" s="100"/>
      <c r="F77" s="101"/>
      <c r="G77" s="101"/>
      <c r="H77" s="102" t="str">
        <f t="shared" si="11"/>
        <v/>
      </c>
      <c r="I77" s="103" t="str">
        <f t="shared" si="12"/>
        <v/>
      </c>
      <c r="J77" s="104"/>
    </row>
    <row r="79" ht="18" customHeight="1">
      <c r="A79" s="87" t="s">
        <v>381</v>
      </c>
    </row>
    <row r="80" ht="16.5" customHeight="1">
      <c r="A80" s="114" t="s">
        <v>382</v>
      </c>
      <c r="C80" s="115" t="s">
        <v>383</v>
      </c>
    </row>
    <row r="81" ht="16.5" customHeight="1">
      <c r="A81" s="116" t="s">
        <v>384</v>
      </c>
      <c r="C81" s="117" t="s">
        <v>385</v>
      </c>
    </row>
    <row r="82" ht="16.5" customHeight="1">
      <c r="A82" s="114" t="s">
        <v>386</v>
      </c>
      <c r="C82" s="115" t="s">
        <v>387</v>
      </c>
    </row>
    <row r="83" ht="16.5" customHeight="1">
      <c r="A83" s="116" t="s">
        <v>388</v>
      </c>
      <c r="C83" s="117" t="s">
        <v>389</v>
      </c>
    </row>
    <row r="84" ht="16.5" customHeight="1">
      <c r="A84" s="114" t="s">
        <v>390</v>
      </c>
      <c r="C84" s="115" t="s">
        <v>391</v>
      </c>
    </row>
  </sheetData>
  <mergeCells>
    <mergeCell ref="A1:J1"/>
    <mergeCell ref="A2:J2"/>
    <mergeCell ref="A4:J4"/>
    <mergeCell ref="A5:J5"/>
    <mergeCell ref="A10:J10"/>
    <mergeCell ref="A12:J12"/>
    <mergeCell ref="A13:J13"/>
    <mergeCell ref="A19:J19"/>
    <mergeCell ref="A21:J21"/>
    <mergeCell ref="A22:J22"/>
    <mergeCell ref="A28:J28"/>
    <mergeCell ref="A30:J30"/>
    <mergeCell ref="A31:J31"/>
    <mergeCell ref="A37:J37"/>
    <mergeCell ref="A39:J39"/>
    <mergeCell ref="A40:J40"/>
    <mergeCell ref="A79:J79"/>
    <mergeCell ref="A80:B80"/>
    <mergeCell ref="C80:J80"/>
    <mergeCell ref="A81:B81"/>
    <mergeCell ref="C81:J81"/>
    <mergeCell ref="A82:B82"/>
    <mergeCell ref="C82:J82"/>
    <mergeCell ref="A83:B83"/>
    <mergeCell ref="C83:J83"/>
    <mergeCell ref="A84:B84"/>
    <mergeCell ref="C84:J84"/>
  </mergeCells>
  <conditionalFormatting sqref="J7:J9">
    <cfRule type="containsText" dxfId="14" priority="13" operator="containsText" text="OK">
      <formula>NOT(ISERROR(SEARCH("OK",J7)))</formula>
    </cfRule>
  </conditionalFormatting>
  <conditionalFormatting sqref="J7:J9">
    <cfRule type="containsText" dxfId="15" priority="12" operator="containsText" text="REVIEW">
      <formula>NOT(ISERROR(SEARCH("REVIEW",J7)))</formula>
    </cfRule>
  </conditionalFormatting>
  <conditionalFormatting sqref="J15:J18">
    <cfRule type="containsText" dxfId="14" priority="11" operator="containsText" text="wins">
      <formula>NOT(ISERROR(SEARCH("wins",J15)))</formula>
    </cfRule>
  </conditionalFormatting>
  <conditionalFormatting sqref="J15:J18">
    <cfRule type="containsText" dxfId="16" priority="10" operator="containsText" text="Baseline">
      <formula>NOT(ISERROR(SEARCH("Baseline",J15)))</formula>
    </cfRule>
  </conditionalFormatting>
  <conditionalFormatting sqref="J15:J18">
    <cfRule type="containsText" dxfId="15" priority="9" operator="containsText" text="Adjust">
      <formula>NOT(ISERROR(SEARCH("Adjust",J15)))</formula>
    </cfRule>
  </conditionalFormatting>
  <conditionalFormatting sqref="I15:I18">
    <cfRule type="cellIs" dxfId="17" priority="8" operator="greaterThan" text="null">
      <formula>0</formula>
    </cfRule>
  </conditionalFormatting>
  <conditionalFormatting sqref="I15:I18">
    <cfRule type="cellIs" dxfId="18" priority="7" operator="lessThan" text="null">
      <formula>0</formula>
    </cfRule>
  </conditionalFormatting>
  <conditionalFormatting sqref="J24:J27">
    <cfRule type="containsText" dxfId="14" priority="6" operator="containsText" text="wins">
      <formula>NOT(ISERROR(SEARCH("wins",J24)))</formula>
    </cfRule>
  </conditionalFormatting>
  <conditionalFormatting sqref="J24:J27">
    <cfRule type="containsText" dxfId="16" priority="5" operator="containsText" text="Baseline">
      <formula>NOT(ISERROR(SEARCH("Baseline",J24)))</formula>
    </cfRule>
  </conditionalFormatting>
  <conditionalFormatting sqref="J24:J27">
    <cfRule type="containsText" dxfId="15" priority="4" operator="containsText" text="Tighten">
      <formula>NOT(ISERROR(SEARCH("Tighten",J24)))</formula>
    </cfRule>
  </conditionalFormatting>
  <conditionalFormatting sqref="J33:J36">
    <cfRule type="containsText" dxfId="14" priority="3" operator="containsText" text="wins">
      <formula>NOT(ISERROR(SEARCH("wins",J33)))</formula>
    </cfRule>
  </conditionalFormatting>
  <conditionalFormatting sqref="J33:J36">
    <cfRule type="containsText" dxfId="16" priority="2" operator="containsText" text="Baseline">
      <formula>NOT(ISERROR(SEARCH("Baseline",J33)))</formula>
    </cfRule>
  </conditionalFormatting>
  <conditionalFormatting sqref="J33:J36">
    <cfRule type="containsText" dxfId="15" priority="1" operator="containsText" text="Tighten">
      <formula>NOT(ISERROR(SEARCH("Tighten",J33)))</formula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182D078-8107-E864-8AF6-583A4D0C1F58}" mc:Ignorable="x14ac xr xr2 xr3">
  <dimension ref="A1:GR1000"/>
  <sheetViews>
    <sheetView topLeftCell="A1" workbookViewId="0">
      <pane ySplit="3" topLeftCell="A4" activePane="bottomLeft" state="frozen"/>
      <selection pane="bottomLeft" activeCell="A1" sqref="A1:J1"/>
    </sheetView>
  </sheetViews>
  <sheetFormatPr defaultRowHeight="15" defaultColWidth="8.8515625" customHeight="1"/>
  <cols>
    <col min="1" max="1" width="4.28125" customWidth="1"/>
    <col min="2" max="2" width="28.57421875" customWidth="1"/>
    <col min="3" max="9" width="16.421875" customWidth="1"/>
    <col min="10" max="10" width="32.8515625" customWidth="1"/>
  </cols>
  <sheetData>
    <row r="1" ht="21" customHeight="1">
      <c r="A1" s="47" t="s">
        <v>392</v>
      </c>
    </row>
    <row r="2" ht="16.5" customHeight="1">
      <c r="A2" s="2" t="s">
        <v>393</v>
      </c>
    </row>
    <row r="4" ht="18" customHeight="1">
      <c r="A4" s="7" t="s">
        <v>394</v>
      </c>
    </row>
    <row r="5" ht="15" customHeight="1">
      <c r="A5" s="2" t="s">
        <v>395</v>
      </c>
    </row>
    <row r="6" ht="30" customHeight="1">
      <c r="A6" s="118" t="s">
        <v>34</v>
      </c>
      <c r="B6" s="118" t="s">
        <v>396</v>
      </c>
      <c r="C6" s="118" t="s">
        <v>397</v>
      </c>
      <c r="D6" s="118" t="s">
        <v>342</v>
      </c>
      <c r="E6" s="118" t="s">
        <v>343</v>
      </c>
      <c r="F6" s="118" t="s">
        <v>327</v>
      </c>
      <c r="G6" s="118" t="s">
        <v>398</v>
      </c>
      <c r="H6" s="118" t="s">
        <v>345</v>
      </c>
      <c r="I6" s="118" t="s">
        <v>399</v>
      </c>
      <c r="J6" s="118" t="s">
        <v>400</v>
      </c>
    </row>
    <row r="7" ht="16.5" customHeight="1">
      <c r="A7" s="35">
        <v>1</v>
      </c>
      <c r="B7" s="89" t="s">
        <v>104</v>
      </c>
      <c r="C7" s="92">
        <v>100</v>
      </c>
      <c r="D7" s="35"/>
      <c r="E7" s="35"/>
      <c r="F7" s="35"/>
      <c r="G7" s="35"/>
      <c r="H7" s="35"/>
      <c r="I7" s="35"/>
      <c r="J7" s="89"/>
    </row>
    <row r="8" ht="16.5" customHeight="1">
      <c r="A8" s="35">
        <v>2</v>
      </c>
      <c r="B8" s="89" t="s">
        <v>401</v>
      </c>
      <c r="C8" s="119" t="s">
        <v>198</v>
      </c>
      <c r="D8" s="35"/>
      <c r="E8" s="35"/>
      <c r="F8" s="35"/>
      <c r="G8" s="35"/>
      <c r="H8" s="35"/>
      <c r="I8" s="35"/>
      <c r="J8" s="89"/>
    </row>
    <row r="9" ht="16.5" customHeight="1">
      <c r="A9" s="35">
        <v>3</v>
      </c>
      <c r="B9" s="89" t="s">
        <v>402</v>
      </c>
      <c r="C9" s="92">
        <v>0.99</v>
      </c>
      <c r="D9" s="90">
        <v>18.2</v>
      </c>
      <c r="E9" s="90">
        <v>18.02</v>
      </c>
      <c r="F9" s="91">
        <f t="shared" si="0" ref="F9:F14">(D9-E9)/D9</f>
        <v>0.00989010989010987</v>
      </c>
      <c r="G9" s="93">
        <f>(C7-C9)*E9</f>
        <v>1784.1602</v>
      </c>
      <c r="H9" s="94">
        <f>C7+C9</f>
        <v>100.99</v>
      </c>
      <c r="I9" s="94">
        <v>0</v>
      </c>
      <c r="J9" s="89" t="s">
        <v>349</v>
      </c>
    </row>
    <row r="10" ht="16.5" customHeight="1">
      <c r="A10" s="35">
        <v>4</v>
      </c>
      <c r="B10" s="89" t="s">
        <v>135</v>
      </c>
      <c r="C10" s="92">
        <v>1.99</v>
      </c>
      <c r="D10" s="120">
        <f>D9</f>
        <v>18.2</v>
      </c>
      <c r="E10" s="90">
        <v>17.82</v>
      </c>
      <c r="F10" s="91">
        <f t="shared" si="0"/>
        <v>0.0208791208791208</v>
      </c>
      <c r="G10" s="93">
        <f>(C7-C10)*E10</f>
        <v>1746.5382</v>
      </c>
      <c r="H10" s="94">
        <f>C7+C10</f>
        <v>101.99</v>
      </c>
      <c r="I10" s="94">
        <f>H10-H9</f>
        <v>1</v>
      </c>
      <c r="J10" s="89" t="str">
        <f>IF(H10&gt;H9,"NexaRemit saves","Adjust")</f>
        <v>NexaRemit saves</v>
      </c>
    </row>
    <row r="11" ht="16.5" customHeight="1">
      <c r="A11" s="35">
        <v>5</v>
      </c>
      <c r="B11" s="89" t="s">
        <v>147</v>
      </c>
      <c r="C11" s="92">
        <v>0</v>
      </c>
      <c r="D11" s="120">
        <f>D9</f>
        <v>18.2</v>
      </c>
      <c r="E11" s="90">
        <v>17.65</v>
      </c>
      <c r="F11" s="91">
        <f t="shared" si="0"/>
        <v>0.0302197802197803</v>
      </c>
      <c r="G11" s="93">
        <f>(C7-C11)*E11</f>
        <v>1765</v>
      </c>
      <c r="H11" s="94">
        <f>C7+C11</f>
        <v>100</v>
      </c>
      <c r="I11" s="94">
        <f>H11-H9</f>
        <v>-0.98999999999999</v>
      </c>
      <c r="J11" s="89" t="str">
        <f>IF(G9&gt;G11,"NexaRemit delivers more MXN","Adjust FX")</f>
        <v>NexaRemit delivers more MXN</v>
      </c>
    </row>
    <row r="12" ht="16.5" customHeight="1">
      <c r="A12" s="35">
        <v>6</v>
      </c>
      <c r="B12" s="89" t="s">
        <v>129</v>
      </c>
      <c r="C12" s="92">
        <v>6.43</v>
      </c>
      <c r="D12" s="120">
        <f>D9</f>
        <v>18.2</v>
      </c>
      <c r="E12" s="97">
        <f>D9</f>
        <v>18.2</v>
      </c>
      <c r="F12" s="91">
        <f t="shared" si="0"/>
        <v>0</v>
      </c>
      <c r="G12" s="93">
        <f>(C7-C12)*E12</f>
        <v>1702.974</v>
      </c>
      <c r="H12" s="94">
        <f>C7+C12</f>
        <v>106.43</v>
      </c>
      <c r="I12" s="94">
        <f>H12-H9</f>
        <v>5.44000000000001</v>
      </c>
      <c r="J12" s="89" t="str">
        <f>IF(H12&gt;H9,"NexaRemit saves","Adjust")</f>
        <v>NexaRemit saves</v>
      </c>
    </row>
    <row r="13" ht="16.5" customHeight="1">
      <c r="A13" s="35">
        <v>7</v>
      </c>
      <c r="B13" s="89" t="s">
        <v>141</v>
      </c>
      <c r="C13" s="121"/>
      <c r="D13" s="120">
        <f>D9</f>
        <v>18.2</v>
      </c>
      <c r="E13" s="121"/>
      <c r="F13" s="35"/>
      <c r="G13" s="35"/>
      <c r="H13" s="35"/>
      <c r="I13" s="35"/>
      <c r="J13" s="89" t="s">
        <v>361</v>
      </c>
    </row>
    <row r="14" ht="16.5" customHeight="1">
      <c r="A14" s="35">
        <v>8</v>
      </c>
      <c r="B14" s="89" t="s">
        <v>123</v>
      </c>
      <c r="C14" s="92">
        <v>0</v>
      </c>
      <c r="D14" s="120">
        <f>D9</f>
        <v>18.2</v>
      </c>
      <c r="E14" s="90">
        <v>17.55</v>
      </c>
      <c r="F14" s="91">
        <f t="shared" si="0"/>
        <v>0.0357142857142856</v>
      </c>
      <c r="G14" s="93">
        <f>(C7-C14)*E14</f>
        <v>1755</v>
      </c>
      <c r="H14" s="94">
        <f>C7+C14</f>
        <v>100</v>
      </c>
      <c r="I14" s="94">
        <f>H14-H9</f>
        <v>-0.98999999999999</v>
      </c>
      <c r="J14" s="89" t="str">
        <f>IF(G9&gt;G14,"NexaRemit delivers more MXN","Adjust FX")</f>
        <v>NexaRemit delivers more MXN</v>
      </c>
    </row>
    <row r="15" ht="24" customHeight="1">
      <c r="A15" s="2" t="s">
        <v>405</v>
      </c>
    </row>
    <row r="17" ht="16.5" customHeight="1">
      <c r="A17" s="122" t="s">
        <v>406</v>
      </c>
    </row>
    <row r="18" ht="30" customHeight="1">
      <c r="A18" s="28" t="s">
        <v>34</v>
      </c>
      <c r="B18" s="28" t="s">
        <v>407</v>
      </c>
      <c r="C18" s="28" t="s">
        <v>220</v>
      </c>
      <c r="G18" s="28" t="s">
        <v>408</v>
      </c>
      <c r="I18" s="28" t="s">
        <v>14</v>
      </c>
      <c r="J18" s="28" t="s">
        <v>36</v>
      </c>
    </row>
    <row r="19" ht="30" customHeight="1">
      <c r="A19" s="19">
        <v>1</v>
      </c>
      <c r="B19" s="117" t="s">
        <v>409</v>
      </c>
      <c r="C19" s="117" t="s">
        <v>410</v>
      </c>
      <c r="G19" s="117" t="s">
        <v>411</v>
      </c>
      <c r="I19" s="19" t="s">
        <v>412</v>
      </c>
      <c r="J19" s="19" t="s">
        <v>59</v>
      </c>
    </row>
    <row r="20" ht="30" customHeight="1">
      <c r="A20" s="23">
        <v>2</v>
      </c>
      <c r="B20" s="115" t="s">
        <v>413</v>
      </c>
      <c r="C20" s="115" t="s">
        <v>414</v>
      </c>
      <c r="G20" s="115" t="s">
        <v>415</v>
      </c>
      <c r="I20" s="23" t="s">
        <v>412</v>
      </c>
      <c r="J20" s="23" t="s">
        <v>59</v>
      </c>
    </row>
    <row r="21" ht="30" customHeight="1">
      <c r="A21" s="19">
        <v>3</v>
      </c>
      <c r="B21" s="117" t="s">
        <v>416</v>
      </c>
      <c r="C21" s="117" t="s">
        <v>417</v>
      </c>
      <c r="G21" s="117" t="s">
        <v>418</v>
      </c>
      <c r="I21" s="19" t="s">
        <v>412</v>
      </c>
      <c r="J21" s="19" t="s">
        <v>419</v>
      </c>
    </row>
    <row r="22" ht="30" customHeight="1">
      <c r="A22" s="23">
        <v>4</v>
      </c>
      <c r="B22" s="115" t="s">
        <v>420</v>
      </c>
      <c r="C22" s="115" t="s">
        <v>421</v>
      </c>
      <c r="G22" s="115" t="s">
        <v>422</v>
      </c>
      <c r="I22" s="23" t="s">
        <v>412</v>
      </c>
      <c r="J22" s="23" t="s">
        <v>59</v>
      </c>
    </row>
    <row r="23" ht="30" customHeight="1">
      <c r="A23" s="19">
        <v>5</v>
      </c>
      <c r="B23" s="117" t="s">
        <v>423</v>
      </c>
      <c r="C23" s="117" t="s">
        <v>424</v>
      </c>
      <c r="G23" s="117" t="s">
        <v>425</v>
      </c>
      <c r="I23" s="19" t="s">
        <v>426</v>
      </c>
      <c r="J23" s="19" t="s">
        <v>62</v>
      </c>
    </row>
    <row r="24" ht="30" customHeight="1">
      <c r="A24" s="23">
        <v>6</v>
      </c>
      <c r="B24" s="115" t="s">
        <v>427</v>
      </c>
      <c r="C24" s="115" t="s">
        <v>428</v>
      </c>
      <c r="G24" s="115" t="s">
        <v>429</v>
      </c>
      <c r="I24" s="23" t="s">
        <v>426</v>
      </c>
      <c r="J24" s="23" t="s">
        <v>430</v>
      </c>
    </row>
    <row r="26" ht="18" customHeight="1">
      <c r="A26" s="7" t="s">
        <v>431</v>
      </c>
    </row>
    <row r="27" ht="15" customHeight="1">
      <c r="A27" s="2" t="s">
        <v>432</v>
      </c>
    </row>
    <row r="28" ht="33" customHeight="1">
      <c r="A28" s="28" t="s">
        <v>34</v>
      </c>
      <c r="B28" s="28" t="s">
        <v>433</v>
      </c>
      <c r="C28" s="28" t="s">
        <v>434</v>
      </c>
      <c r="D28" s="28" t="s">
        <v>435</v>
      </c>
      <c r="E28" s="28" t="s">
        <v>436</v>
      </c>
      <c r="F28" s="28" t="s">
        <v>437</v>
      </c>
      <c r="G28" s="28" t="s">
        <v>36</v>
      </c>
      <c r="H28" s="28" t="s">
        <v>438</v>
      </c>
      <c r="I28" s="28" t="s">
        <v>439</v>
      </c>
      <c r="J28" s="28" t="s">
        <v>19</v>
      </c>
    </row>
    <row r="29" ht="31.5" customHeight="1">
      <c r="A29" s="19">
        <v>1</v>
      </c>
      <c r="B29" s="117" t="s">
        <v>440</v>
      </c>
      <c r="C29" s="117" t="s">
        <v>441</v>
      </c>
      <c r="D29" s="117" t="s">
        <v>442</v>
      </c>
      <c r="E29" s="19" t="s">
        <v>443</v>
      </c>
      <c r="F29" s="117" t="s">
        <v>444</v>
      </c>
      <c r="G29" s="117" t="s">
        <v>62</v>
      </c>
      <c r="H29" s="117" t="s">
        <v>445</v>
      </c>
      <c r="I29" s="121" t="s">
        <v>446</v>
      </c>
      <c r="J29" s="117" t="s">
        <v>447</v>
      </c>
    </row>
    <row r="30" ht="31.5" customHeight="1">
      <c r="A30" s="23">
        <v>2</v>
      </c>
      <c r="B30" s="115" t="s">
        <v>448</v>
      </c>
      <c r="C30" s="115" t="s">
        <v>449</v>
      </c>
      <c r="D30" s="115" t="s">
        <v>450</v>
      </c>
      <c r="E30" s="23" t="s">
        <v>443</v>
      </c>
      <c r="F30" s="115" t="s">
        <v>444</v>
      </c>
      <c r="G30" s="115" t="s">
        <v>62</v>
      </c>
      <c r="H30" s="115" t="s">
        <v>451</v>
      </c>
      <c r="I30" s="121" t="s">
        <v>446</v>
      </c>
      <c r="J30" s="115" t="s">
        <v>452</v>
      </c>
    </row>
    <row r="31" ht="31.5" customHeight="1">
      <c r="A31" s="19">
        <v>3</v>
      </c>
      <c r="B31" s="117" t="s">
        <v>453</v>
      </c>
      <c r="C31" s="117" t="s">
        <v>454</v>
      </c>
      <c r="D31" s="117" t="s">
        <v>455</v>
      </c>
      <c r="E31" s="19" t="s">
        <v>456</v>
      </c>
      <c r="F31" s="117" t="s">
        <v>457</v>
      </c>
      <c r="G31" s="117" t="s">
        <v>62</v>
      </c>
      <c r="H31" s="117" t="s">
        <v>458</v>
      </c>
      <c r="I31" s="121" t="s">
        <v>446</v>
      </c>
      <c r="J31" s="117" t="s">
        <v>459</v>
      </c>
    </row>
    <row r="32" ht="31.5" customHeight="1">
      <c r="A32" s="23">
        <v>4</v>
      </c>
      <c r="B32" s="115" t="s">
        <v>460</v>
      </c>
      <c r="C32" s="115" t="s">
        <v>461</v>
      </c>
      <c r="D32" s="115" t="s">
        <v>462</v>
      </c>
      <c r="E32" s="23" t="s">
        <v>456</v>
      </c>
      <c r="F32" s="115" t="s">
        <v>463</v>
      </c>
      <c r="G32" s="115" t="s">
        <v>464</v>
      </c>
      <c r="H32" s="115" t="s">
        <v>465</v>
      </c>
      <c r="I32" s="121" t="s">
        <v>446</v>
      </c>
      <c r="J32" s="115" t="s">
        <v>466</v>
      </c>
    </row>
    <row r="33" ht="31.5" customHeight="1">
      <c r="A33" s="19">
        <v>5</v>
      </c>
      <c r="B33" s="117" t="s">
        <v>467</v>
      </c>
      <c r="C33" s="117" t="s">
        <v>468</v>
      </c>
      <c r="D33" s="117" t="s">
        <v>469</v>
      </c>
      <c r="E33" s="19" t="s">
        <v>296</v>
      </c>
      <c r="F33" s="117" t="s">
        <v>457</v>
      </c>
      <c r="G33" s="117" t="s">
        <v>49</v>
      </c>
      <c r="H33" s="117" t="s">
        <v>470</v>
      </c>
      <c r="I33" s="121" t="s">
        <v>446</v>
      </c>
      <c r="J33" s="117" t="s">
        <v>471</v>
      </c>
    </row>
    <row r="34" ht="31.5" customHeight="1">
      <c r="A34" s="23">
        <v>6</v>
      </c>
      <c r="B34" s="115" t="s">
        <v>472</v>
      </c>
      <c r="C34" s="115" t="s">
        <v>473</v>
      </c>
      <c r="D34" s="115" t="s">
        <v>474</v>
      </c>
      <c r="E34" s="23" t="s">
        <v>296</v>
      </c>
      <c r="F34" s="115" t="s">
        <v>457</v>
      </c>
      <c r="G34" s="115" t="s">
        <v>475</v>
      </c>
      <c r="H34" s="115" t="s">
        <v>476</v>
      </c>
      <c r="I34" s="121" t="s">
        <v>446</v>
      </c>
      <c r="J34" s="115" t="s">
        <v>477</v>
      </c>
    </row>
    <row r="35" ht="31.5" customHeight="1">
      <c r="A35" s="19">
        <v>7</v>
      </c>
      <c r="B35" s="117" t="s">
        <v>478</v>
      </c>
      <c r="C35" s="117" t="s">
        <v>479</v>
      </c>
      <c r="D35" s="117" t="s">
        <v>480</v>
      </c>
      <c r="E35" s="19" t="s">
        <v>456</v>
      </c>
      <c r="F35" s="117" t="s">
        <v>481</v>
      </c>
      <c r="G35" s="117" t="s">
        <v>482</v>
      </c>
      <c r="H35" s="117" t="s">
        <v>483</v>
      </c>
      <c r="I35" s="121" t="s">
        <v>446</v>
      </c>
      <c r="J35" s="117" t="s">
        <v>484</v>
      </c>
    </row>
    <row r="36" ht="31.5" customHeight="1">
      <c r="A36" s="23">
        <v>8</v>
      </c>
      <c r="B36" s="115" t="s">
        <v>485</v>
      </c>
      <c r="C36" s="115" t="s">
        <v>486</v>
      </c>
      <c r="D36" s="115" t="s">
        <v>487</v>
      </c>
      <c r="E36" s="23" t="s">
        <v>296</v>
      </c>
      <c r="F36" s="115" t="s">
        <v>488</v>
      </c>
      <c r="G36" s="115" t="s">
        <v>49</v>
      </c>
      <c r="H36" s="115" t="s">
        <v>489</v>
      </c>
      <c r="I36" s="121" t="s">
        <v>446</v>
      </c>
      <c r="J36" s="115" t="s">
        <v>490</v>
      </c>
    </row>
    <row r="37" ht="15" customHeight="1">
      <c r="A37" s="2" t="s">
        <v>491</v>
      </c>
    </row>
    <row r="39" ht="18" customHeight="1">
      <c r="A39" s="7" t="s">
        <v>492</v>
      </c>
    </row>
    <row r="40" ht="15" customHeight="1">
      <c r="A40" s="2" t="s">
        <v>493</v>
      </c>
    </row>
    <row r="42" ht="30" customHeight="1">
      <c r="A42" s="28"/>
      <c r="B42" s="28" t="s">
        <v>494</v>
      </c>
      <c r="C42" s="28" t="s">
        <v>495</v>
      </c>
      <c r="D42" s="28" t="s">
        <v>496</v>
      </c>
      <c r="E42" s="28" t="s">
        <v>497</v>
      </c>
      <c r="F42" s="28" t="s">
        <v>498</v>
      </c>
      <c r="G42" s="28" t="s">
        <v>499</v>
      </c>
      <c r="H42" s="28" t="s">
        <v>500</v>
      </c>
      <c r="I42" s="28"/>
      <c r="J42" s="28"/>
    </row>
    <row r="43" ht="15" customHeight="1">
      <c r="A43" s="123" t="s">
        <v>501</v>
      </c>
      <c r="B43" s="31"/>
      <c r="C43" s="124">
        <v>0.3</v>
      </c>
      <c r="D43" s="124">
        <v>0.2</v>
      </c>
      <c r="E43" s="124">
        <v>0.2</v>
      </c>
      <c r="F43" s="124">
        <v>0.15</v>
      </c>
      <c r="G43" s="124">
        <v>0.15</v>
      </c>
      <c r="H43" s="125">
        <f>SUM(C43:G43)</f>
        <v>1</v>
      </c>
      <c r="I43" s="126"/>
      <c r="J43" s="126"/>
    </row>
    <row r="44" ht="13.5" customHeight="1">
      <c r="A44" s="2" t="s">
        <v>502</v>
      </c>
    </row>
    <row r="45" ht="30" customHeight="1">
      <c r="A45" s="28" t="s">
        <v>34</v>
      </c>
      <c r="B45" s="28" t="s">
        <v>503</v>
      </c>
      <c r="C45" s="28" t="s">
        <v>504</v>
      </c>
      <c r="D45" s="28" t="s">
        <v>505</v>
      </c>
      <c r="E45" s="28" t="s">
        <v>506</v>
      </c>
      <c r="F45" s="28" t="s">
        <v>498</v>
      </c>
      <c r="G45" s="28" t="s">
        <v>507</v>
      </c>
      <c r="H45" s="28" t="s">
        <v>508</v>
      </c>
      <c r="I45" s="28" t="s">
        <v>72</v>
      </c>
      <c r="J45" s="28" t="s">
        <v>19</v>
      </c>
    </row>
    <row r="46" ht="33" customHeight="1">
      <c r="A46" s="35">
        <v>1</v>
      </c>
      <c r="B46" s="89" t="s">
        <v>509</v>
      </c>
      <c r="C46" s="121">
        <v>8</v>
      </c>
      <c r="D46" s="121">
        <v>7</v>
      </c>
      <c r="E46" s="121">
        <v>6</v>
      </c>
      <c r="F46" s="121">
        <v>6</v>
      </c>
      <c r="G46" s="121">
        <v>7</v>
      </c>
      <c r="H46" s="127">
        <f t="shared" si="1" ref="H46:H49">SUMPRODUCT(C46:G46,$C$43:$G$43)</f>
        <v>6.95</v>
      </c>
      <c r="I46" s="126">
        <f t="shared" si="2" ref="I46:I49">RANK(H46,$H$46:$H$51,0)</f>
        <v>1</v>
      </c>
      <c r="J46" s="89" t="s">
        <v>510</v>
      </c>
    </row>
    <row r="47" ht="33" customHeight="1">
      <c r="A47" s="35">
        <v>2</v>
      </c>
      <c r="B47" s="89" t="s">
        <v>511</v>
      </c>
      <c r="C47" s="121">
        <v>8</v>
      </c>
      <c r="D47" s="121">
        <v>6</v>
      </c>
      <c r="E47" s="121">
        <v>7</v>
      </c>
      <c r="F47" s="121">
        <v>5</v>
      </c>
      <c r="G47" s="121">
        <v>7</v>
      </c>
      <c r="H47" s="127">
        <f t="shared" si="1"/>
        <v>6.8</v>
      </c>
      <c r="I47" s="126">
        <f t="shared" si="2"/>
        <v>2</v>
      </c>
      <c r="J47" s="89" t="s">
        <v>512</v>
      </c>
    </row>
    <row r="48" ht="33" customHeight="1">
      <c r="A48" s="35">
        <v>3</v>
      </c>
      <c r="B48" s="89" t="s">
        <v>513</v>
      </c>
      <c r="C48" s="121">
        <v>5</v>
      </c>
      <c r="D48" s="121">
        <v>8</v>
      </c>
      <c r="E48" s="121">
        <v>8</v>
      </c>
      <c r="F48" s="121">
        <v>7</v>
      </c>
      <c r="G48" s="121">
        <v>6</v>
      </c>
      <c r="H48" s="127">
        <f t="shared" si="1"/>
        <v>6.65</v>
      </c>
      <c r="I48" s="126">
        <f t="shared" si="2"/>
        <v>4</v>
      </c>
      <c r="J48" s="89" t="s">
        <v>514</v>
      </c>
    </row>
    <row r="49" ht="33" customHeight="1">
      <c r="A49" s="35">
        <v>4</v>
      </c>
      <c r="B49" s="89" t="s">
        <v>515</v>
      </c>
      <c r="C49" s="121">
        <v>7</v>
      </c>
      <c r="D49" s="121">
        <v>8</v>
      </c>
      <c r="E49" s="121">
        <v>5</v>
      </c>
      <c r="F49" s="121">
        <v>8</v>
      </c>
      <c r="G49" s="121">
        <v>6</v>
      </c>
      <c r="H49" s="127">
        <f t="shared" si="1"/>
        <v>6.8</v>
      </c>
      <c r="I49" s="126">
        <f t="shared" si="2"/>
        <v>2</v>
      </c>
      <c r="J49" s="89" t="s">
        <v>516</v>
      </c>
    </row>
    <row r="50" ht="33" customHeight="1">
      <c r="A50" s="35">
        <v>5</v>
      </c>
      <c r="B50" s="89" t="s">
        <v>517</v>
      </c>
      <c r="C50" s="121"/>
      <c r="D50" s="121"/>
      <c r="E50" s="121"/>
      <c r="F50" s="121"/>
      <c r="G50" s="121"/>
      <c r="H50" s="127">
        <f t="shared" si="3" ref="H50:H51">_xlfn.IFERROR(SUMPRODUCT(C50:G50,$C$43:$G$43),"")</f>
        <v>0</v>
      </c>
      <c r="I50" s="126">
        <f t="shared" si="4" ref="I50:I51">_xlfn.IFERROR(RANK(H50,$H$46:$H$51,0),"")</f>
        <v>5</v>
      </c>
      <c r="J50" s="89" t="s">
        <v>518</v>
      </c>
    </row>
    <row r="51" ht="33" customHeight="1">
      <c r="A51" s="35">
        <v>6</v>
      </c>
      <c r="B51" s="89" t="s">
        <v>517</v>
      </c>
      <c r="C51" s="121"/>
      <c r="D51" s="121"/>
      <c r="E51" s="121"/>
      <c r="F51" s="121"/>
      <c r="G51" s="121"/>
      <c r="H51" s="127">
        <f t="shared" si="3"/>
        <v>0</v>
      </c>
      <c r="I51" s="126">
        <f t="shared" si="4"/>
        <v>5</v>
      </c>
      <c r="J51" s="89" t="s">
        <v>518</v>
      </c>
    </row>
    <row r="53" ht="16.5" customHeight="1">
      <c r="A53" s="122" t="s">
        <v>519</v>
      </c>
    </row>
    <row r="54" ht="18" customHeight="1">
      <c r="A54" s="31" t="s">
        <v>520</v>
      </c>
      <c r="B54" s="121"/>
      <c r="C54" s="31" t="s">
        <v>508</v>
      </c>
      <c r="D54" s="127" t="str">
        <f>_xlfn.IFERROR(VLOOKUP(B54,B46:H51,7,FALSE),"")</f>
        <v/>
      </c>
      <c r="E54" s="31" t="s">
        <v>521</v>
      </c>
      <c r="F54" s="121"/>
      <c r="G54" s="31" t="s">
        <v>36</v>
      </c>
      <c r="H54" s="35" t="s">
        <v>64</v>
      </c>
      <c r="I54" s="128"/>
      <c r="J54" s="128"/>
    </row>
    <row r="55" ht="16.5" customHeight="1">
      <c r="A55" s="2" t="s">
        <v>522</v>
      </c>
    </row>
    <row r="57" ht="18" customHeight="1">
      <c r="A57" s="87" t="s">
        <v>523</v>
      </c>
    </row>
    <row r="58" ht="21" customHeight="1">
      <c r="A58" s="129" t="s">
        <v>524</v>
      </c>
      <c r="C58" s="117" t="s">
        <v>525</v>
      </c>
    </row>
    <row r="59" ht="21" customHeight="1">
      <c r="A59" s="123" t="s">
        <v>526</v>
      </c>
      <c r="C59" s="115" t="s">
        <v>527</v>
      </c>
    </row>
    <row r="60" ht="21" customHeight="1">
      <c r="A60" s="129" t="s">
        <v>528</v>
      </c>
      <c r="C60" s="117" t="s">
        <v>529</v>
      </c>
    </row>
  </sheetData>
  <mergeCells>
    <mergeCell ref="A1:J1"/>
    <mergeCell ref="A2:J2"/>
    <mergeCell ref="A4:J4"/>
    <mergeCell ref="A5:J5"/>
    <mergeCell ref="A15:J15"/>
    <mergeCell ref="A17:J17"/>
    <mergeCell ref="C18:F18"/>
    <mergeCell ref="G18:H18"/>
    <mergeCell ref="C19:F19"/>
    <mergeCell ref="G19:H19"/>
    <mergeCell ref="C20:F20"/>
    <mergeCell ref="G20:H20"/>
    <mergeCell ref="C21:F21"/>
    <mergeCell ref="G21:H21"/>
    <mergeCell ref="C22:F22"/>
    <mergeCell ref="G22:H22"/>
    <mergeCell ref="C23:F23"/>
    <mergeCell ref="G23:H23"/>
    <mergeCell ref="C24:F24"/>
    <mergeCell ref="G24:H24"/>
    <mergeCell ref="A26:J26"/>
    <mergeCell ref="A27:J27"/>
    <mergeCell ref="A37:J37"/>
    <mergeCell ref="A39:J39"/>
    <mergeCell ref="A40:J40"/>
    <mergeCell ref="A44:J44"/>
    <mergeCell ref="A53:J53"/>
    <mergeCell ref="A55:J55"/>
    <mergeCell ref="A57:J57"/>
    <mergeCell ref="A58:B58"/>
    <mergeCell ref="C58:J58"/>
    <mergeCell ref="A59:B59"/>
    <mergeCell ref="C59:J59"/>
    <mergeCell ref="A60:B60"/>
    <mergeCell ref="C60:J60"/>
  </mergeCells>
  <conditionalFormatting sqref="I10:I14">
    <cfRule type="cellIs" dxfId="14" priority="19" operator="greaterThan" text="null">
      <formula>0</formula>
    </cfRule>
  </conditionalFormatting>
  <conditionalFormatting sqref="I10:I14">
    <cfRule type="cellIs" dxfId="15" priority="18" operator="lessThan" text="null">
      <formula>0</formula>
    </cfRule>
  </conditionalFormatting>
  <conditionalFormatting sqref="J9:J14">
    <cfRule type="containsText" dxfId="14" priority="17" operator="containsText" text="saves">
      <formula>NOT(ISERROR(SEARCH("saves",J9)))</formula>
    </cfRule>
  </conditionalFormatting>
  <conditionalFormatting sqref="J9:J14">
    <cfRule type="containsText" dxfId="14" priority="16" operator="containsText" text="delivers">
      <formula>NOT(ISERROR(SEARCH("delivers",J9)))</formula>
    </cfRule>
  </conditionalFormatting>
  <conditionalFormatting sqref="J9:J14">
    <cfRule type="containsText" dxfId="15" priority="15" operator="containsText" text="Adjust">
      <formula>NOT(ISERROR(SEARCH("Adjust",J9)))</formula>
    </cfRule>
  </conditionalFormatting>
  <conditionalFormatting sqref="J9:J14">
    <cfRule type="containsText" dxfId="19" priority="14" operator="containsText" text="Capture">
      <formula>NOT(ISERROR(SEARCH("Capture",J9)))</formula>
    </cfRule>
  </conditionalFormatting>
  <conditionalFormatting sqref="J9:J14">
    <cfRule type="containsText" dxfId="19" priority="13" operator="containsText" text="Baseline">
      <formula>NOT(ISERROR(SEARCH("Baseline",J9)))</formula>
    </cfRule>
  </conditionalFormatting>
  <conditionalFormatting sqref="I19:I24">
    <cfRule type="containsText" dxfId="15" priority="12" operator="containsText" text="Must">
      <formula>NOT(ISERROR(SEARCH("Must",I19)))</formula>
    </cfRule>
  </conditionalFormatting>
  <conditionalFormatting sqref="I19:I24">
    <cfRule type="containsText" dxfId="20" priority="11" operator="containsText" text="Should">
      <formula>NOT(ISERROR(SEARCH("Should",I19)))</formula>
    </cfRule>
  </conditionalFormatting>
  <conditionalFormatting sqref="E29:E36">
    <cfRule type="containsText" dxfId="21" priority="10" operator="containsText" text="Critical">
      <formula>NOT(ISERROR(SEARCH("Critical",E29)))</formula>
    </cfRule>
  </conditionalFormatting>
  <conditionalFormatting sqref="E29:E36">
    <cfRule type="containsText" dxfId="15" priority="9" operator="containsText" text="High">
      <formula>NOT(ISERROR(SEARCH("High",E29)))</formula>
    </cfRule>
  </conditionalFormatting>
  <conditionalFormatting sqref="E29:E36">
    <cfRule type="containsText" dxfId="20" priority="8" operator="containsText" text="Medium">
      <formula>NOT(ISERROR(SEARCH("Medium",E29)))</formula>
    </cfRule>
  </conditionalFormatting>
  <conditionalFormatting sqref="I29:I36">
    <cfRule type="containsText" dxfId="22" priority="7" operator="containsText" text="Not implemented">
      <formula>NOT(ISERROR(SEARCH("Not implemented",I29)))</formula>
    </cfRule>
  </conditionalFormatting>
  <conditionalFormatting sqref="I29:I36">
    <cfRule type="containsText" dxfId="20" priority="6" operator="containsText" text="In dev">
      <formula>NOT(ISERROR(SEARCH("In dev",I29)))</formula>
    </cfRule>
  </conditionalFormatting>
  <conditionalFormatting sqref="I29:I36">
    <cfRule type="containsText" dxfId="14" priority="5" operator="containsText" text="Live">
      <formula>NOT(ISERROR(SEARCH("Live",I29)))</formula>
    </cfRule>
  </conditionalFormatting>
  <conditionalFormatting sqref="H43">
    <cfRule type="cellIs" dxfId="14" priority="4" operator="equal" text="null">
      <formula>1</formula>
    </cfRule>
  </conditionalFormatting>
  <conditionalFormatting sqref="H43">
    <cfRule type="cellIs" dxfId="15" priority="3" operator="notEqual" text="null">
      <formula>1</formula>
    </cfRule>
  </conditionalFormatting>
  <conditionalFormatting sqref="I46:I51">
    <cfRule type="cellIs" dxfId="14" priority="2" operator="equal" text="null">
      <formula>1</formula>
    </cfRule>
  </conditionalFormatting>
  <conditionalFormatting sqref="I46:I51">
    <cfRule type="cellIs" dxfId="23" priority="1" operator="greaterThanOrEqual" text="null">
      <formula>4</formula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37904D8-E422-A558-0478-5F95536D6B88}" mc:Ignorable="x14ac xr xr2 xr3">
  <dimension ref="A1:GR1000"/>
  <sheetViews>
    <sheetView topLeftCell="A1" workbookViewId="0">
      <pane ySplit="3" topLeftCell="A56" activePane="bottomLeft" state="frozen"/>
      <selection pane="bottomLeft" activeCell="A69" sqref="A69:J69"/>
    </sheetView>
  </sheetViews>
  <sheetFormatPr defaultRowHeight="15" defaultColWidth="8.8515625" customHeight="1"/>
  <cols>
    <col min="1" max="1" width="4.00390625" customWidth="1"/>
    <col min="2" max="2" width="22.00390625" customWidth="1"/>
    <col min="3" max="3" width="14.00390625" customWidth="1"/>
    <col min="4" max="9" width="16.00390625" customWidth="1"/>
    <col min="10" max="10" width="32.00390625" customWidth="1"/>
  </cols>
  <sheetData>
    <row r="1" ht="21" customHeight="1">
      <c r="A1" s="47" t="s">
        <v>530</v>
      </c>
    </row>
    <row r="2" ht="16.5" customHeight="1">
      <c r="A2" s="2" t="s">
        <v>531</v>
      </c>
    </row>
    <row r="4" ht="18" customHeight="1">
      <c r="A4" s="7" t="s">
        <v>532</v>
      </c>
    </row>
    <row r="5" ht="15" customHeight="1">
      <c r="A5" s="2" t="s">
        <v>533</v>
      </c>
    </row>
    <row r="6" ht="30" customHeight="1">
      <c r="A6" s="28" t="s">
        <v>34</v>
      </c>
      <c r="B6" s="28" t="s">
        <v>102</v>
      </c>
      <c r="C6" s="28" t="s">
        <v>103</v>
      </c>
      <c r="D6" s="28" t="s">
        <v>341</v>
      </c>
      <c r="E6" s="28" t="s">
        <v>374</v>
      </c>
      <c r="F6" s="28" t="s">
        <v>342</v>
      </c>
      <c r="G6" s="28" t="s">
        <v>327</v>
      </c>
      <c r="H6" s="28" t="s">
        <v>345</v>
      </c>
      <c r="I6" s="28" t="s">
        <v>534</v>
      </c>
      <c r="J6" s="28" t="s">
        <v>376</v>
      </c>
    </row>
    <row r="7" ht="16.5" customHeight="1">
      <c r="A7" s="130">
        <v>1</v>
      </c>
      <c r="B7" s="130" t="s">
        <v>117</v>
      </c>
      <c r="C7" s="130" t="s">
        <v>535</v>
      </c>
      <c r="D7" s="131"/>
      <c r="E7" s="132"/>
      <c r="F7" s="132"/>
      <c r="G7" s="133" t="str">
        <f t="shared" si="0" ref="G7:G18">IF(AND(ISNUMBER(E7),ISNUMBER(F7),F7&lt;&gt;0),(F7-E7)/F7,"")</f>
        <v/>
      </c>
      <c r="H7" s="134" t="str">
        <f t="shared" si="1" ref="H7:H18">IF(AND(ISNUMBER(D7),ISNUMBER(E7),ISNUMBER(F7),F7&lt;&gt;0),D7+((F7-E7)/F7)*100,"")</f>
        <v/>
      </c>
      <c r="I7" s="134" t="str">
        <f t="shared" si="2" ref="I7:I12">IF(ISNUMBER(H7),H7-100.75,"")</f>
        <v/>
      </c>
      <c r="J7" s="135"/>
    </row>
    <row r="8" ht="16.5" customHeight="1">
      <c r="A8" s="130">
        <v>2</v>
      </c>
      <c r="B8" s="130" t="s">
        <v>117</v>
      </c>
      <c r="C8" s="130" t="s">
        <v>536</v>
      </c>
      <c r="D8" s="131"/>
      <c r="E8" s="132"/>
      <c r="F8" s="132"/>
      <c r="G8" s="133" t="str">
        <f t="shared" si="0"/>
        <v/>
      </c>
      <c r="H8" s="134" t="str">
        <f t="shared" si="1"/>
        <v/>
      </c>
      <c r="I8" s="134" t="str">
        <f t="shared" si="2"/>
        <v/>
      </c>
      <c r="J8" s="135"/>
    </row>
    <row r="9" ht="16.5" customHeight="1">
      <c r="A9" s="136">
        <v>3</v>
      </c>
      <c r="B9" s="136" t="s">
        <v>154</v>
      </c>
      <c r="C9" s="136" t="s">
        <v>535</v>
      </c>
      <c r="D9" s="131"/>
      <c r="E9" s="132"/>
      <c r="F9" s="132"/>
      <c r="G9" s="133" t="str">
        <f t="shared" si="0"/>
        <v/>
      </c>
      <c r="H9" s="134" t="str">
        <f t="shared" si="1"/>
        <v/>
      </c>
      <c r="I9" s="134" t="str">
        <f t="shared" si="2"/>
        <v/>
      </c>
      <c r="J9" s="135"/>
    </row>
    <row r="10" ht="16.5" customHeight="1">
      <c r="A10" s="136">
        <v>4</v>
      </c>
      <c r="B10" s="136" t="s">
        <v>154</v>
      </c>
      <c r="C10" s="136" t="s">
        <v>536</v>
      </c>
      <c r="D10" s="131"/>
      <c r="E10" s="132"/>
      <c r="F10" s="132"/>
      <c r="G10" s="133" t="str">
        <f t="shared" si="0"/>
        <v/>
      </c>
      <c r="H10" s="134" t="str">
        <f t="shared" si="1"/>
        <v/>
      </c>
      <c r="I10" s="134" t="str">
        <f t="shared" si="2"/>
        <v/>
      </c>
      <c r="J10" s="135"/>
    </row>
    <row r="11" ht="16.5" customHeight="1">
      <c r="A11" s="137">
        <v>5</v>
      </c>
      <c r="B11" s="137" t="s">
        <v>180</v>
      </c>
      <c r="C11" s="137" t="s">
        <v>535</v>
      </c>
      <c r="D11" s="131"/>
      <c r="E11" s="132"/>
      <c r="F11" s="132"/>
      <c r="G11" s="133" t="str">
        <f t="shared" si="0"/>
        <v/>
      </c>
      <c r="H11" s="134" t="str">
        <f t="shared" si="1"/>
        <v/>
      </c>
      <c r="I11" s="134" t="str">
        <f t="shared" si="2"/>
        <v/>
      </c>
      <c r="J11" s="135"/>
    </row>
    <row r="12" ht="16.5" customHeight="1">
      <c r="A12" s="137">
        <v>6</v>
      </c>
      <c r="B12" s="137" t="s">
        <v>180</v>
      </c>
      <c r="C12" s="137" t="s">
        <v>536</v>
      </c>
      <c r="D12" s="131"/>
      <c r="E12" s="132"/>
      <c r="F12" s="132"/>
      <c r="G12" s="133" t="str">
        <f t="shared" si="0"/>
        <v/>
      </c>
      <c r="H12" s="134" t="str">
        <f t="shared" si="1"/>
        <v/>
      </c>
      <c r="I12" s="134" t="str">
        <f t="shared" si="2"/>
        <v/>
      </c>
      <c r="J12" s="135"/>
    </row>
    <row r="13" ht="16.5" customHeight="1">
      <c r="A13" s="138">
        <v>7</v>
      </c>
      <c r="B13" s="138" t="s">
        <v>198</v>
      </c>
      <c r="C13" s="138" t="s">
        <v>535</v>
      </c>
      <c r="D13" s="131"/>
      <c r="E13" s="132"/>
      <c r="F13" s="132"/>
      <c r="G13" s="133" t="str">
        <f t="shared" si="0"/>
        <v/>
      </c>
      <c r="H13" s="134" t="str">
        <f t="shared" si="1"/>
        <v/>
      </c>
      <c r="I13" s="134" t="str">
        <f t="shared" si="3" ref="I13:I16">IF(ISNUMBER(H13),H13-101.49,"")</f>
        <v/>
      </c>
      <c r="J13" s="135"/>
    </row>
    <row r="14" ht="16.5" customHeight="1">
      <c r="A14" s="138">
        <v>8</v>
      </c>
      <c r="B14" s="138" t="s">
        <v>198</v>
      </c>
      <c r="C14" s="138" t="s">
        <v>536</v>
      </c>
      <c r="D14" s="131"/>
      <c r="E14" s="132"/>
      <c r="F14" s="132"/>
      <c r="G14" s="133" t="str">
        <f t="shared" si="0"/>
        <v/>
      </c>
      <c r="H14" s="134" t="str">
        <f t="shared" si="1"/>
        <v/>
      </c>
      <c r="I14" s="134" t="str">
        <f t="shared" si="3"/>
        <v/>
      </c>
      <c r="J14" s="135"/>
    </row>
    <row r="15" ht="16.5" customHeight="1">
      <c r="A15" s="139">
        <v>9</v>
      </c>
      <c r="B15" s="139" t="s">
        <v>188</v>
      </c>
      <c r="C15" s="139" t="s">
        <v>535</v>
      </c>
      <c r="D15" s="131"/>
      <c r="E15" s="132"/>
      <c r="F15" s="132"/>
      <c r="G15" s="133" t="str">
        <f t="shared" si="0"/>
        <v/>
      </c>
      <c r="H15" s="134" t="str">
        <f t="shared" si="1"/>
        <v/>
      </c>
      <c r="I15" s="134" t="str">
        <f t="shared" si="3"/>
        <v/>
      </c>
      <c r="J15" s="135"/>
    </row>
    <row r="16" ht="16.5" customHeight="1">
      <c r="A16" s="139">
        <v>10</v>
      </c>
      <c r="B16" s="139" t="s">
        <v>188</v>
      </c>
      <c r="C16" s="139" t="s">
        <v>536</v>
      </c>
      <c r="D16" s="131"/>
      <c r="E16" s="132"/>
      <c r="F16" s="132"/>
      <c r="G16" s="133" t="str">
        <f t="shared" si="0"/>
        <v/>
      </c>
      <c r="H16" s="134" t="str">
        <f t="shared" si="1"/>
        <v/>
      </c>
      <c r="I16" s="134" t="str">
        <f t="shared" si="3"/>
        <v/>
      </c>
      <c r="J16" s="135"/>
    </row>
    <row r="17" ht="16.5" customHeight="1">
      <c r="A17" s="140">
        <v>11</v>
      </c>
      <c r="B17" s="140" t="s">
        <v>169</v>
      </c>
      <c r="C17" s="140" t="s">
        <v>535</v>
      </c>
      <c r="D17" s="131"/>
      <c r="E17" s="132"/>
      <c r="F17" s="132"/>
      <c r="G17" s="133" t="str">
        <f t="shared" si="0"/>
        <v/>
      </c>
      <c r="H17" s="134" t="str">
        <f t="shared" si="1"/>
        <v/>
      </c>
      <c r="I17" s="134" t="str">
        <f t="shared" si="4" ref="I17:I18">IF(ISNUMBER(H17),H17-101.99,"")</f>
        <v/>
      </c>
      <c r="J17" s="135"/>
    </row>
    <row r="18" ht="16.5" customHeight="1">
      <c r="A18" s="140">
        <v>12</v>
      </c>
      <c r="B18" s="140" t="s">
        <v>169</v>
      </c>
      <c r="C18" s="140" t="s">
        <v>536</v>
      </c>
      <c r="D18" s="131"/>
      <c r="E18" s="132"/>
      <c r="F18" s="132"/>
      <c r="G18" s="133" t="str">
        <f t="shared" si="0"/>
        <v/>
      </c>
      <c r="H18" s="134" t="str">
        <f t="shared" si="1"/>
        <v/>
      </c>
      <c r="I18" s="134" t="str">
        <f t="shared" si="4"/>
        <v/>
      </c>
      <c r="J18" s="135"/>
    </row>
    <row r="19" ht="18" customHeight="1">
      <c r="A19" s="2" t="s">
        <v>537</v>
      </c>
    </row>
    <row r="21" ht="16.5" customHeight="1">
      <c r="A21" s="122" t="s">
        <v>538</v>
      </c>
    </row>
    <row r="22" ht="30" customHeight="1">
      <c r="A22" s="28" t="s">
        <v>34</v>
      </c>
      <c r="B22" s="28" t="s">
        <v>102</v>
      </c>
      <c r="C22" s="28" t="s">
        <v>539</v>
      </c>
      <c r="D22" s="28" t="s">
        <v>540</v>
      </c>
      <c r="E22" s="28" t="s">
        <v>541</v>
      </c>
      <c r="F22" s="28" t="s">
        <v>542</v>
      </c>
      <c r="G22" s="28" t="s">
        <v>543</v>
      </c>
      <c r="H22" s="28" t="s">
        <v>544</v>
      </c>
    </row>
    <row r="23" ht="24" customHeight="1">
      <c r="A23" s="141">
        <v>1</v>
      </c>
      <c r="B23" s="141" t="s">
        <v>331</v>
      </c>
      <c r="C23" s="141" t="s">
        <v>545</v>
      </c>
      <c r="D23" s="142">
        <f>_xlfn.IFERROR(MAX(H7,H8),"")</f>
        <v>0</v>
      </c>
      <c r="E23" s="142">
        <v>100.75</v>
      </c>
      <c r="F23" s="143">
        <f t="shared" si="5" ref="F23:F28">_xlfn.IFERROR(D23-E23,"")</f>
        <v>-100.75</v>
      </c>
      <c r="G23" s="144">
        <f t="shared" si="6" ref="G23:G28">_xlfn.IFERROR((D23-E23)/E23,"")</f>
        <v>-1</v>
      </c>
      <c r="H23" s="145" t="str">
        <f>IF(ISNUMBER(F23),"Send to Nigeria and save $"&amp;TEXT(F23,"0.00")&amp;" vs Western Union — no transfer fees.","Fill quote to generate headline")</f>
        <v>Send to Nigeria and save $-100.75 vs Western Union — no transfer fees.</v>
      </c>
    </row>
    <row r="24" ht="24" customHeight="1">
      <c r="A24" s="141">
        <v>2</v>
      </c>
      <c r="B24" s="141" t="s">
        <v>334</v>
      </c>
      <c r="C24" s="141" t="s">
        <v>545</v>
      </c>
      <c r="D24" s="142">
        <f>_xlfn.IFERROR(MAX(H9,H10),"")</f>
        <v>0</v>
      </c>
      <c r="E24" s="142">
        <v>100.75</v>
      </c>
      <c r="F24" s="143">
        <f t="shared" si="5"/>
        <v>-100.75</v>
      </c>
      <c r="G24" s="144">
        <f t="shared" si="6"/>
        <v>-1</v>
      </c>
      <c r="H24" s="145" t="str">
        <f>IF(ISNUMBER(F24),"Send to Ghana and save $"&amp;TEXT(F24,"0.00")&amp;" vs Western Union — no transfer fees.","Fill quote to generate headline")</f>
        <v>Send to Ghana and save $-100.75 vs Western Union — no transfer fees.</v>
      </c>
    </row>
    <row r="25" ht="24" customHeight="1">
      <c r="A25" s="141">
        <v>3</v>
      </c>
      <c r="B25" s="141" t="s">
        <v>336</v>
      </c>
      <c r="C25" s="141" t="s">
        <v>545</v>
      </c>
      <c r="D25" s="142">
        <f>_xlfn.IFERROR(MAX(H11,H12),"")</f>
        <v>0</v>
      </c>
      <c r="E25" s="142">
        <v>100.75</v>
      </c>
      <c r="F25" s="143">
        <f t="shared" si="5"/>
        <v>-100.75</v>
      </c>
      <c r="G25" s="144">
        <f t="shared" si="6"/>
        <v>-1</v>
      </c>
      <c r="H25" s="145" t="str">
        <f>IF(ISNUMBER(F25),"Send to Kenya and save $"&amp;TEXT(F25,"0.00")&amp;" vs Western Union — no transfer fees.","Fill quote to generate headline")</f>
        <v>Send to Kenya and save $-100.75 vs Western Union — no transfer fees.</v>
      </c>
    </row>
    <row r="26" ht="24" customHeight="1">
      <c r="A26" s="141">
        <v>4</v>
      </c>
      <c r="B26" s="141" t="s">
        <v>380</v>
      </c>
      <c r="C26" s="141" t="s">
        <v>545</v>
      </c>
      <c r="D26" s="142">
        <f>_xlfn.IFERROR(MAX(H13,H14),"")</f>
        <v>0</v>
      </c>
      <c r="E26" s="142">
        <v>101.49</v>
      </c>
      <c r="F26" s="143">
        <f t="shared" si="5"/>
        <v>-101.49</v>
      </c>
      <c r="G26" s="144">
        <f t="shared" si="6"/>
        <v>-1</v>
      </c>
      <c r="H26" s="145" t="str">
        <f>IF(ISNUMBER(F26),"Send to Mexico for $0.99 and save $"&amp;TEXT(F26,"0.00")&amp;" vs Western Union.","Fill quote to generate headline")</f>
        <v>Send to Mexico for $0.99 and save $-101.49 vs Western Union.</v>
      </c>
    </row>
    <row r="27" ht="24" customHeight="1">
      <c r="A27" s="141">
        <v>5</v>
      </c>
      <c r="B27" s="141" t="s">
        <v>379</v>
      </c>
      <c r="C27" s="141" t="s">
        <v>545</v>
      </c>
      <c r="D27" s="142">
        <f>_xlfn.IFERROR(MAX(H15,H16),"")</f>
        <v>0</v>
      </c>
      <c r="E27" s="142">
        <v>101.49</v>
      </c>
      <c r="F27" s="143">
        <f t="shared" si="5"/>
        <v>-101.49</v>
      </c>
      <c r="G27" s="144">
        <f t="shared" si="6"/>
        <v>-1</v>
      </c>
      <c r="H27" s="145" t="str">
        <f>IF(ISNUMBER(F27),"Send to the Philippines for $0.99 and save $"&amp;TEXT(F27,"0.00")&amp;" vs Western Union.","Fill quote to generate headline")</f>
        <v>Send to the Philippines for $0.99 and save $-101.49 vs Western Union.</v>
      </c>
    </row>
    <row r="28" ht="24" customHeight="1">
      <c r="A28" s="141">
        <v>6</v>
      </c>
      <c r="B28" s="141" t="s">
        <v>378</v>
      </c>
      <c r="C28" s="141" t="s">
        <v>545</v>
      </c>
      <c r="D28" s="142">
        <f>_xlfn.IFERROR(MAX(H17,H18),"")</f>
        <v>0</v>
      </c>
      <c r="E28" s="142">
        <v>101.99</v>
      </c>
      <c r="F28" s="143">
        <f t="shared" si="5"/>
        <v>-101.99</v>
      </c>
      <c r="G28" s="144">
        <f t="shared" si="6"/>
        <v>-1</v>
      </c>
      <c r="H28" s="145" t="str">
        <f>IF(ISNUMBER(F28),"Send to India for $1.49 and save $"&amp;TEXT(F28,"0.00")&amp;" vs Western Union.","Fill quote to generate headline")</f>
        <v>Send to India for $1.49 and save $-101.99 vs Western Union.</v>
      </c>
    </row>
    <row r="30" ht="18" customHeight="1">
      <c r="A30" s="7" t="s">
        <v>552</v>
      </c>
    </row>
    <row r="31" ht="16.5" customHeight="1">
      <c r="A31" s="2" t="s">
        <v>553</v>
      </c>
    </row>
    <row r="33" ht="16.5" customHeight="1">
      <c r="A33" s="122" t="s">
        <v>554</v>
      </c>
    </row>
    <row r="34" ht="30" customHeight="1">
      <c r="A34" s="28" t="s">
        <v>34</v>
      </c>
      <c r="B34" s="28" t="s">
        <v>555</v>
      </c>
      <c r="C34" s="28" t="s">
        <v>556</v>
      </c>
      <c r="D34" s="28" t="s">
        <v>220</v>
      </c>
      <c r="G34" s="28" t="s">
        <v>557</v>
      </c>
      <c r="H34" s="28" t="s">
        <v>558</v>
      </c>
      <c r="I34" s="28" t="s">
        <v>559</v>
      </c>
      <c r="J34" s="28" t="s">
        <v>19</v>
      </c>
    </row>
    <row r="35" ht="30" customHeight="1">
      <c r="A35" s="146">
        <v>1</v>
      </c>
      <c r="B35" s="129" t="s">
        <v>560</v>
      </c>
      <c r="C35" s="147" t="s">
        <v>561</v>
      </c>
      <c r="D35" s="147" t="s">
        <v>562</v>
      </c>
      <c r="G35" s="29" t="s">
        <v>563</v>
      </c>
      <c r="H35" s="147" t="s">
        <v>564</v>
      </c>
      <c r="I35" s="42" t="s">
        <v>456</v>
      </c>
      <c r="J35" s="147" t="s">
        <v>565</v>
      </c>
    </row>
    <row r="36" ht="30" customHeight="1">
      <c r="A36" s="148">
        <v>2</v>
      </c>
      <c r="B36" s="123" t="s">
        <v>566</v>
      </c>
      <c r="C36" s="149" t="s">
        <v>567</v>
      </c>
      <c r="D36" s="149" t="s">
        <v>568</v>
      </c>
      <c r="G36" s="31" t="s">
        <v>563</v>
      </c>
      <c r="H36" s="149" t="s">
        <v>569</v>
      </c>
      <c r="I36" s="42" t="s">
        <v>456</v>
      </c>
      <c r="J36" s="149" t="s">
        <v>570</v>
      </c>
    </row>
    <row r="37" ht="30" customHeight="1">
      <c r="A37" s="146">
        <v>3</v>
      </c>
      <c r="B37" s="129" t="s">
        <v>571</v>
      </c>
      <c r="C37" s="147" t="s">
        <v>572</v>
      </c>
      <c r="D37" s="147" t="s">
        <v>573</v>
      </c>
      <c r="G37" s="29" t="s">
        <v>563</v>
      </c>
      <c r="H37" s="147" t="s">
        <v>569</v>
      </c>
      <c r="I37" s="82" t="s">
        <v>296</v>
      </c>
      <c r="J37" s="147" t="s">
        <v>574</v>
      </c>
    </row>
    <row r="38" ht="30" customHeight="1">
      <c r="A38" s="148">
        <v>4</v>
      </c>
      <c r="B38" s="123" t="s">
        <v>575</v>
      </c>
      <c r="C38" s="149" t="s">
        <v>576</v>
      </c>
      <c r="D38" s="149" t="s">
        <v>577</v>
      </c>
      <c r="G38" s="31" t="s">
        <v>563</v>
      </c>
      <c r="H38" s="149" t="s">
        <v>569</v>
      </c>
      <c r="I38" s="82" t="s">
        <v>296</v>
      </c>
      <c r="J38" s="149" t="s">
        <v>578</v>
      </c>
    </row>
    <row r="39" ht="30" customHeight="1">
      <c r="A39" s="146">
        <v>5</v>
      </c>
      <c r="B39" s="129" t="s">
        <v>579</v>
      </c>
      <c r="C39" s="147" t="s">
        <v>580</v>
      </c>
      <c r="D39" s="147" t="s">
        <v>581</v>
      </c>
      <c r="G39" s="29" t="s">
        <v>582</v>
      </c>
      <c r="H39" s="147" t="s">
        <v>569</v>
      </c>
      <c r="I39" s="82" t="s">
        <v>296</v>
      </c>
      <c r="J39" s="147" t="s">
        <v>583</v>
      </c>
    </row>
    <row r="40" ht="30" customHeight="1">
      <c r="A40" s="148">
        <v>6</v>
      </c>
      <c r="B40" s="123" t="s">
        <v>584</v>
      </c>
      <c r="C40" s="149" t="s">
        <v>585</v>
      </c>
      <c r="D40" s="149" t="s">
        <v>586</v>
      </c>
      <c r="G40" s="31" t="s">
        <v>563</v>
      </c>
      <c r="H40" s="149" t="s">
        <v>569</v>
      </c>
      <c r="I40" s="42" t="s">
        <v>456</v>
      </c>
      <c r="J40" s="149" t="s">
        <v>587</v>
      </c>
    </row>
    <row r="41" ht="16.5" customHeight="1">
      <c r="A41" s="2" t="s">
        <v>588</v>
      </c>
    </row>
    <row r="43" ht="16.5" customHeight="1">
      <c r="A43" s="122" t="s">
        <v>589</v>
      </c>
    </row>
    <row r="44" ht="30" customHeight="1">
      <c r="A44" s="28" t="s">
        <v>34</v>
      </c>
      <c r="B44" s="28" t="s">
        <v>590</v>
      </c>
      <c r="C44" s="28" t="s">
        <v>102</v>
      </c>
      <c r="D44" s="28" t="s">
        <v>103</v>
      </c>
      <c r="E44" s="28" t="s">
        <v>341</v>
      </c>
      <c r="F44" s="28" t="s">
        <v>327</v>
      </c>
      <c r="G44" s="28" t="s">
        <v>345</v>
      </c>
      <c r="H44" s="28" t="s">
        <v>591</v>
      </c>
      <c r="I44" s="28" t="s">
        <v>592</v>
      </c>
      <c r="J44" s="28" t="s">
        <v>593</v>
      </c>
    </row>
    <row r="45" ht="16.5" customHeight="1">
      <c r="A45" s="141">
        <v>1</v>
      </c>
      <c r="B45" s="136" t="s">
        <v>4</v>
      </c>
      <c r="C45" s="136" t="s">
        <v>380</v>
      </c>
      <c r="D45" s="136" t="s">
        <v>135</v>
      </c>
      <c r="E45" s="150">
        <v>1.99</v>
      </c>
      <c r="F45" s="151">
        <v>0.005</v>
      </c>
      <c r="G45" s="134">
        <f t="shared" si="7" ref="G45:G57">IF(AND(ISNUMBER(E45),ISNUMBER(F45)),E45+F45*100,"")</f>
        <v>2.49</v>
      </c>
      <c r="H45" s="136" t="s">
        <v>594</v>
      </c>
      <c r="I45" s="136" t="s">
        <v>119</v>
      </c>
      <c r="J45" s="135" t="s">
        <v>595</v>
      </c>
    </row>
    <row r="46" ht="16.5" customHeight="1">
      <c r="A46" s="141">
        <v>2</v>
      </c>
      <c r="B46" s="136" t="s">
        <v>4</v>
      </c>
      <c r="C46" s="136" t="s">
        <v>380</v>
      </c>
      <c r="D46" s="136" t="s">
        <v>135</v>
      </c>
      <c r="E46" s="150">
        <v>1.99</v>
      </c>
      <c r="F46" s="151">
        <v>-0.01</v>
      </c>
      <c r="G46" s="134">
        <f t="shared" si="7"/>
        <v>0.99</v>
      </c>
      <c r="H46" s="136" t="s">
        <v>563</v>
      </c>
      <c r="I46" s="136" t="s">
        <v>596</v>
      </c>
      <c r="J46" s="135" t="s">
        <v>597</v>
      </c>
    </row>
    <row r="47" ht="16.5" customHeight="1">
      <c r="A47" s="141">
        <v>3</v>
      </c>
      <c r="B47" s="136" t="s">
        <v>4</v>
      </c>
      <c r="C47" s="136" t="s">
        <v>379</v>
      </c>
      <c r="D47" s="136" t="s">
        <v>147</v>
      </c>
      <c r="E47" s="150">
        <v>0</v>
      </c>
      <c r="F47" s="151">
        <v>0.002</v>
      </c>
      <c r="G47" s="134">
        <f t="shared" si="7"/>
        <v>0.2</v>
      </c>
      <c r="H47" s="136" t="s">
        <v>563</v>
      </c>
      <c r="I47" s="136" t="s">
        <v>598</v>
      </c>
      <c r="J47" s="135" t="s">
        <v>599</v>
      </c>
    </row>
    <row r="48" ht="16.5" customHeight="1">
      <c r="A48" s="141">
        <v>4</v>
      </c>
      <c r="B48" s="136"/>
      <c r="C48" s="136"/>
      <c r="D48" s="136"/>
      <c r="E48" s="150"/>
      <c r="F48" s="151"/>
      <c r="G48" s="134" t="str">
        <f t="shared" si="7"/>
        <v/>
      </c>
      <c r="H48" s="136"/>
      <c r="I48" s="136"/>
      <c r="J48" s="135"/>
    </row>
    <row r="49" ht="16.5" customHeight="1">
      <c r="A49" s="141">
        <v>5</v>
      </c>
      <c r="B49" s="136"/>
      <c r="C49" s="136"/>
      <c r="D49" s="136"/>
      <c r="E49" s="150"/>
      <c r="F49" s="151"/>
      <c r="G49" s="134" t="str">
        <f t="shared" si="7"/>
        <v/>
      </c>
      <c r="H49" s="136"/>
      <c r="I49" s="136"/>
      <c r="J49" s="135"/>
    </row>
    <row r="50" ht="16.5" customHeight="1">
      <c r="A50" s="141">
        <v>6</v>
      </c>
      <c r="B50" s="136"/>
      <c r="C50" s="136"/>
      <c r="D50" s="136"/>
      <c r="E50" s="150"/>
      <c r="F50" s="151"/>
      <c r="G50" s="134" t="str">
        <f t="shared" si="7"/>
        <v/>
      </c>
      <c r="H50" s="136"/>
      <c r="I50" s="136"/>
      <c r="J50" s="135"/>
    </row>
    <row r="51" ht="16.5" customHeight="1">
      <c r="A51" s="141">
        <v>7</v>
      </c>
      <c r="B51" s="136"/>
      <c r="C51" s="136"/>
      <c r="D51" s="136"/>
      <c r="E51" s="150"/>
      <c r="F51" s="151"/>
      <c r="G51" s="134" t="str">
        <f t="shared" si="7"/>
        <v/>
      </c>
      <c r="H51" s="136"/>
      <c r="I51" s="136"/>
      <c r="J51" s="135"/>
    </row>
    <row r="52" ht="16.5" customHeight="1">
      <c r="A52" s="141">
        <v>8</v>
      </c>
      <c r="B52" s="136"/>
      <c r="C52" s="136"/>
      <c r="D52" s="136"/>
      <c r="E52" s="150"/>
      <c r="F52" s="151"/>
      <c r="G52" s="134" t="str">
        <f t="shared" si="7"/>
        <v/>
      </c>
      <c r="H52" s="136"/>
      <c r="I52" s="136"/>
      <c r="J52" s="135"/>
    </row>
    <row r="53" ht="16.5" customHeight="1">
      <c r="A53" s="141">
        <v>9</v>
      </c>
      <c r="B53" s="136"/>
      <c r="C53" s="136"/>
      <c r="D53" s="136"/>
      <c r="E53" s="150"/>
      <c r="F53" s="151"/>
      <c r="G53" s="134" t="str">
        <f t="shared" si="7"/>
        <v/>
      </c>
      <c r="H53" s="136"/>
      <c r="I53" s="136"/>
      <c r="J53" s="135"/>
    </row>
    <row r="54" ht="16.5" customHeight="1">
      <c r="A54" s="141">
        <v>10</v>
      </c>
      <c r="B54" s="136"/>
      <c r="C54" s="136"/>
      <c r="D54" s="136"/>
      <c r="E54" s="150"/>
      <c r="F54" s="151"/>
      <c r="G54" s="134" t="str">
        <f t="shared" si="7"/>
        <v/>
      </c>
      <c r="H54" s="136"/>
      <c r="I54" s="136"/>
      <c r="J54" s="135"/>
    </row>
    <row r="55" ht="16.5" customHeight="1">
      <c r="A55" s="141">
        <v>11</v>
      </c>
      <c r="B55" s="136"/>
      <c r="C55" s="136"/>
      <c r="D55" s="136"/>
      <c r="E55" s="150"/>
      <c r="F55" s="151"/>
      <c r="G55" s="134" t="str">
        <f t="shared" si="7"/>
        <v/>
      </c>
      <c r="H55" s="136"/>
      <c r="I55" s="136"/>
      <c r="J55" s="135"/>
    </row>
    <row r="56" ht="16.5" customHeight="1">
      <c r="A56" s="141">
        <v>12</v>
      </c>
      <c r="B56" s="136"/>
      <c r="C56" s="136"/>
      <c r="D56" s="136"/>
      <c r="E56" s="150"/>
      <c r="F56" s="151"/>
      <c r="G56" s="134" t="str">
        <f t="shared" si="7"/>
        <v/>
      </c>
      <c r="H56" s="136"/>
      <c r="I56" s="136"/>
      <c r="J56" s="135"/>
    </row>
    <row r="57" ht="16.5" customHeight="1">
      <c r="A57" s="141">
        <v>13</v>
      </c>
      <c r="B57" s="136"/>
      <c r="C57" s="136"/>
      <c r="D57" s="136"/>
      <c r="E57" s="150"/>
      <c r="F57" s="151"/>
      <c r="G57" s="134" t="str">
        <f t="shared" si="7"/>
        <v/>
      </c>
      <c r="H57" s="136"/>
      <c r="I57" s="136"/>
      <c r="J57" s="135"/>
    </row>
    <row r="59" ht="16.5" customHeight="1">
      <c r="A59" s="122" t="s">
        <v>600</v>
      </c>
    </row>
    <row r="60" ht="30" customHeight="1">
      <c r="A60" s="28" t="s">
        <v>34</v>
      </c>
      <c r="B60" s="28" t="s">
        <v>102</v>
      </c>
      <c r="C60" s="28" t="s">
        <v>601</v>
      </c>
      <c r="D60" s="28" t="s">
        <v>602</v>
      </c>
      <c r="E60" s="28" t="s">
        <v>541</v>
      </c>
      <c r="F60" s="28" t="s">
        <v>603</v>
      </c>
      <c r="G60" s="28" t="s">
        <v>604</v>
      </c>
      <c r="H60" s="28"/>
      <c r="I60" s="28"/>
      <c r="J60" s="28" t="s">
        <v>605</v>
      </c>
    </row>
    <row r="61" ht="16.5" customHeight="1">
      <c r="A61" s="141">
        <v>1</v>
      </c>
      <c r="B61" s="152" t="s">
        <v>331</v>
      </c>
      <c r="C61" s="152" t="str">
        <f t="shared" si="8" ref="C61:C66">_xlfn.IFERROR(_xlfn.XLOOKUP(D61,$G$45:$G$57,$D$45:$D$57,"",0),"")</f>
        <v/>
      </c>
      <c r="D61" s="153">
        <f t="shared" si="9" ref="D61:D66">_xlfn.IFERROR(_xlfn.MINIFS($G$45:$G$57,$C$45:$C$57,B61,$H$45:$H$57,"Steady-state"),"")</f>
        <v>0</v>
      </c>
      <c r="E61" s="153">
        <v>100.75</v>
      </c>
      <c r="F61" s="143">
        <f t="shared" si="10" ref="F61:F66">IF(ISNUMBER(D61),D61-E61,"")</f>
        <v>-100.75</v>
      </c>
      <c r="G61" s="126" t="str">
        <f t="shared" si="11" ref="G61:G66">IF(ISNUMBER(F61),IF(F61&lt;0,"Yes","No"),"")</f>
        <v>Yes</v>
      </c>
      <c r="J61" s="152" t="s">
        <v>607</v>
      </c>
    </row>
    <row r="62" ht="16.5" customHeight="1">
      <c r="A62" s="141">
        <v>2</v>
      </c>
      <c r="B62" s="152" t="s">
        <v>334</v>
      </c>
      <c r="C62" s="152" t="str">
        <f t="shared" si="8"/>
        <v/>
      </c>
      <c r="D62" s="153">
        <f t="shared" si="9"/>
        <v>0</v>
      </c>
      <c r="E62" s="153">
        <v>100.75</v>
      </c>
      <c r="F62" s="143">
        <f t="shared" si="10"/>
        <v>-100.75</v>
      </c>
      <c r="G62" s="126" t="str">
        <f t="shared" si="11"/>
        <v>Yes</v>
      </c>
      <c r="J62" s="152" t="s">
        <v>607</v>
      </c>
    </row>
    <row r="63" ht="16.5" customHeight="1">
      <c r="A63" s="141">
        <v>3</v>
      </c>
      <c r="B63" s="152" t="s">
        <v>336</v>
      </c>
      <c r="C63" s="152" t="str">
        <f t="shared" si="8"/>
        <v/>
      </c>
      <c r="D63" s="153">
        <f t="shared" si="9"/>
        <v>0</v>
      </c>
      <c r="E63" s="153">
        <v>100.75</v>
      </c>
      <c r="F63" s="143">
        <f t="shared" si="10"/>
        <v>-100.75</v>
      </c>
      <c r="G63" s="126" t="str">
        <f t="shared" si="11"/>
        <v>Yes</v>
      </c>
      <c r="J63" s="152" t="s">
        <v>607</v>
      </c>
    </row>
    <row r="64" ht="16.5" customHeight="1">
      <c r="A64" s="141">
        <v>4</v>
      </c>
      <c r="B64" s="152" t="s">
        <v>380</v>
      </c>
      <c r="C64" s="152" t="str">
        <f t="shared" si="8"/>
        <v>Remitly</v>
      </c>
      <c r="D64" s="153">
        <f t="shared" si="9"/>
        <v>2.49</v>
      </c>
      <c r="E64" s="153">
        <v>101.49</v>
      </c>
      <c r="F64" s="143">
        <f t="shared" si="10"/>
        <v>-99</v>
      </c>
      <c r="G64" s="126" t="str">
        <f t="shared" si="11"/>
        <v>Yes</v>
      </c>
      <c r="J64" s="152" t="s">
        <v>607</v>
      </c>
    </row>
    <row r="65" ht="16.5" customHeight="1">
      <c r="A65" s="141">
        <v>5</v>
      </c>
      <c r="B65" s="152" t="s">
        <v>379</v>
      </c>
      <c r="C65" s="152" t="str">
        <f t="shared" si="8"/>
        <v/>
      </c>
      <c r="D65" s="153">
        <f t="shared" si="9"/>
        <v>0</v>
      </c>
      <c r="E65" s="153">
        <v>101.49</v>
      </c>
      <c r="F65" s="143">
        <f t="shared" si="10"/>
        <v>-101.49</v>
      </c>
      <c r="G65" s="126" t="str">
        <f t="shared" si="11"/>
        <v>Yes</v>
      </c>
      <c r="J65" s="152" t="s">
        <v>607</v>
      </c>
    </row>
    <row r="66" ht="16.5" customHeight="1">
      <c r="A66" s="141">
        <v>6</v>
      </c>
      <c r="B66" s="152" t="s">
        <v>378</v>
      </c>
      <c r="C66" s="152" t="str">
        <f t="shared" si="8"/>
        <v/>
      </c>
      <c r="D66" s="153">
        <f t="shared" si="9"/>
        <v>0</v>
      </c>
      <c r="E66" s="153">
        <v>101.99</v>
      </c>
      <c r="F66" s="143">
        <f t="shared" si="10"/>
        <v>-101.99</v>
      </c>
      <c r="G66" s="126" t="str">
        <f t="shared" si="11"/>
        <v>Yes</v>
      </c>
      <c r="J66" s="152" t="s">
        <v>607</v>
      </c>
    </row>
    <row r="67" ht="16.5" customHeight="1">
      <c r="A67" s="2" t="s">
        <v>608</v>
      </c>
    </row>
    <row r="69" ht="18" customHeight="1">
      <c r="A69" s="154" t="s">
        <v>609</v>
      </c>
    </row>
    <row r="70" ht="19.5" customHeight="1">
      <c r="A70" s="116" t="s">
        <v>610</v>
      </c>
      <c r="C70" s="117" t="s">
        <v>611</v>
      </c>
    </row>
    <row r="71" ht="19.5" customHeight="1">
      <c r="A71" s="114" t="s">
        <v>612</v>
      </c>
      <c r="C71" s="115" t="s">
        <v>613</v>
      </c>
    </row>
  </sheetData>
  <mergeCells>
    <mergeCell ref="A1:J1"/>
    <mergeCell ref="A2:J2"/>
    <mergeCell ref="A4:J4"/>
    <mergeCell ref="A5:J5"/>
    <mergeCell ref="A19:J19"/>
    <mergeCell ref="A21:J21"/>
    <mergeCell ref="H22:J22"/>
    <mergeCell ref="H23:J23"/>
    <mergeCell ref="H24:J24"/>
    <mergeCell ref="H25:J25"/>
    <mergeCell ref="H26:J26"/>
    <mergeCell ref="H27:J27"/>
    <mergeCell ref="H28:J28"/>
    <mergeCell ref="A30:J30"/>
    <mergeCell ref="A31:J31"/>
    <mergeCell ref="A33:J33"/>
    <mergeCell ref="D34:F34"/>
    <mergeCell ref="D35:F35"/>
    <mergeCell ref="D36:F36"/>
    <mergeCell ref="D37:F37"/>
    <mergeCell ref="D38:F38"/>
    <mergeCell ref="D39:F39"/>
    <mergeCell ref="D40:F40"/>
    <mergeCell ref="A41:J41"/>
    <mergeCell ref="A43:J43"/>
    <mergeCell ref="A59:J59"/>
    <mergeCell ref="A67:J67"/>
    <mergeCell ref="A69:J69"/>
    <mergeCell ref="A70:B70"/>
    <mergeCell ref="C70:J70"/>
    <mergeCell ref="A71:B71"/>
    <mergeCell ref="C71:J71"/>
  </mergeCells>
  <conditionalFormatting sqref="I7:I18">
    <cfRule type="cellIs" dxfId="24" priority="13" operator="greaterThan" text="null">
      <formula>0</formula>
    </cfRule>
  </conditionalFormatting>
  <conditionalFormatting sqref="I7:I18">
    <cfRule type="cellIs" dxfId="25" priority="12" operator="lessThan" text="null">
      <formula>0</formula>
    </cfRule>
  </conditionalFormatting>
  <conditionalFormatting sqref="F23:F28">
    <cfRule type="cellIs" dxfId="17" priority="11" operator="greaterThan" text="null">
      <formula>0</formula>
    </cfRule>
  </conditionalFormatting>
  <conditionalFormatting sqref="F23:F28">
    <cfRule type="cellIs" dxfId="18" priority="10" operator="lessThan" text="null">
      <formula>0</formula>
    </cfRule>
  </conditionalFormatting>
  <conditionalFormatting sqref="G23:G28">
    <cfRule type="cellIs" dxfId="17" priority="9" operator="greaterThan" text="null">
      <formula>0</formula>
    </cfRule>
  </conditionalFormatting>
  <conditionalFormatting sqref="G23:G28">
    <cfRule type="cellIs" dxfId="18" priority="8" operator="lessThan" text="null">
      <formula>0</formula>
    </cfRule>
  </conditionalFormatting>
  <conditionalFormatting sqref="H45:H57">
    <cfRule type="containsText" dxfId="15" priority="7" operator="containsText" text="Promo">
      <formula>NOT(ISERROR(SEARCH("Promo",H45)))</formula>
    </cfRule>
  </conditionalFormatting>
  <conditionalFormatting sqref="H45:H57">
    <cfRule type="containsText" dxfId="14" priority="6" operator="containsText" text="Steady-state">
      <formula>NOT(ISERROR(SEARCH("Steady-state",H45)))</formula>
    </cfRule>
  </conditionalFormatting>
  <conditionalFormatting sqref="H45:H57">
    <cfRule type="containsText" dxfId="22" priority="5" operator="containsText" text="Unclassified">
      <formula>NOT(ISERROR(SEARCH("Unclassified",H45)))</formula>
    </cfRule>
  </conditionalFormatting>
  <conditionalFormatting sqref="F61:F66">
    <cfRule type="cellIs" dxfId="17" priority="4" operator="lessThan" text="null">
      <formula>0</formula>
    </cfRule>
  </conditionalFormatting>
  <conditionalFormatting sqref="F61:F66">
    <cfRule type="cellIs" dxfId="18" priority="3" operator="greaterThan" text="null">
      <formula>0</formula>
    </cfRule>
  </conditionalFormatting>
  <conditionalFormatting sqref="G61:G66">
    <cfRule type="containsText" dxfId="24" priority="2" operator="containsText" text="Yes">
      <formula>NOT(ISERROR(SEARCH("Yes",G61)))</formula>
    </cfRule>
  </conditionalFormatting>
  <conditionalFormatting sqref="G61:G66">
    <cfRule type="containsText" dxfId="25" priority="1" operator="containsText" text="No">
      <formula>NOT(ISERROR(SEARCH("No",G61)))</formula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2026-07-06T16:17:18Z</dcterms:created>
</cp:coreProperties>
</file>